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M:\Code\ingest-poc\mapping\"/>
    </mc:Choice>
  </mc:AlternateContent>
  <bookViews>
    <workbookView xWindow="0" yWindow="504" windowWidth="38400" windowHeight="21096" tabRatio="691" activeTab="3"/>
  </bookViews>
  <sheets>
    <sheet name="arelda.xsd" sheetId="1" r:id="rId1"/>
    <sheet name="ech-0160-draft" sheetId="2" r:id="rId2"/>
    <sheet name="ech0160" sheetId="4" r:id="rId3"/>
    <sheet name="ech0160-paket" sheetId="5" r:id="rId4"/>
    <sheet name="dimag" sheetId="3" r:id="rId5"/>
  </sheets>
  <functionGroups builtInGroupCount="18"/>
  <calcPr calcId="191029"/>
  <webPublishing allowPng="1" targetScreenSize="1024x768" codePage="6500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5" l="1"/>
  <c r="E11" i="5"/>
  <c r="E19" i="5"/>
  <c r="E27" i="5"/>
  <c r="E35" i="5"/>
  <c r="E43" i="5"/>
  <c r="E51" i="5"/>
  <c r="E59" i="5"/>
  <c r="E67" i="5"/>
  <c r="E75" i="5"/>
  <c r="E13" i="5"/>
  <c r="E29" i="5"/>
  <c r="E45" i="5"/>
  <c r="E53" i="5"/>
  <c r="E69" i="5"/>
  <c r="E22" i="5"/>
  <c r="E38" i="5"/>
  <c r="E54" i="5"/>
  <c r="E15" i="5"/>
  <c r="E31" i="5"/>
  <c r="E47" i="5"/>
  <c r="E63" i="5"/>
  <c r="E8" i="5"/>
  <c r="E40" i="5"/>
  <c r="E64" i="5"/>
  <c r="E9" i="5"/>
  <c r="E41" i="5"/>
  <c r="E57" i="5"/>
  <c r="E73" i="5"/>
  <c r="E18" i="5"/>
  <c r="E26" i="5"/>
  <c r="E34" i="5"/>
  <c r="E50" i="5"/>
  <c r="E4" i="5"/>
  <c r="E12" i="5"/>
  <c r="E20" i="5"/>
  <c r="E28" i="5"/>
  <c r="E36" i="5"/>
  <c r="E44" i="5"/>
  <c r="E52" i="5"/>
  <c r="E60" i="5"/>
  <c r="E68" i="5"/>
  <c r="E76" i="5"/>
  <c r="E5" i="5"/>
  <c r="E21" i="5"/>
  <c r="E37" i="5"/>
  <c r="E61" i="5"/>
  <c r="E6" i="5"/>
  <c r="E30" i="5"/>
  <c r="E46" i="5"/>
  <c r="E70" i="5"/>
  <c r="E23" i="5"/>
  <c r="E39" i="5"/>
  <c r="E55" i="5"/>
  <c r="E71" i="5"/>
  <c r="E16" i="5"/>
  <c r="E24" i="5"/>
  <c r="E32" i="5"/>
  <c r="E48" i="5"/>
  <c r="E56" i="5"/>
  <c r="E72" i="5"/>
  <c r="E17" i="5"/>
  <c r="E33" i="5"/>
  <c r="E49" i="5"/>
  <c r="E65" i="5"/>
  <c r="E10" i="5"/>
  <c r="E42" i="5"/>
  <c r="E58" i="5"/>
  <c r="E66" i="5"/>
  <c r="E62" i="5"/>
  <c r="E14" i="5"/>
  <c r="E7" i="5"/>
  <c r="E25" i="5"/>
  <c r="E74" i="5"/>
  <c r="E2" i="5"/>
  <c r="J5" i="5"/>
  <c r="I5" i="5"/>
  <c r="F2" i="5"/>
  <c r="F3" i="5"/>
  <c r="F4" i="5"/>
  <c r="F5" i="5"/>
  <c r="F6" i="5"/>
  <c r="F7" i="5"/>
  <c r="F8" i="5"/>
  <c r="F9" i="5"/>
  <c r="A74" i="5" l="1"/>
  <c r="F74" i="5" s="1"/>
  <c r="A75" i="5"/>
  <c r="F75" i="5" s="1"/>
  <c r="A76" i="5"/>
  <c r="F76" i="5" s="1"/>
  <c r="A73" i="5"/>
  <c r="F73" i="5" s="1"/>
  <c r="A72" i="5"/>
  <c r="F72" i="5" s="1"/>
  <c r="A71" i="5"/>
  <c r="F71" i="5" s="1"/>
  <c r="A70" i="5"/>
  <c r="F70" i="5" s="1"/>
  <c r="A69" i="5"/>
  <c r="F69" i="5" s="1"/>
  <c r="A25" i="5" l="1"/>
  <c r="F25" i="5" s="1"/>
  <c r="A44" i="5" l="1"/>
  <c r="F44" i="5" s="1"/>
  <c r="A40" i="5"/>
  <c r="F40" i="5" s="1"/>
  <c r="A43" i="5"/>
  <c r="F43" i="5" s="1"/>
  <c r="A50" i="5"/>
  <c r="F50" i="5" s="1"/>
  <c r="A42" i="5"/>
  <c r="F42" i="5" s="1"/>
  <c r="A46" i="5"/>
  <c r="F46" i="5" s="1"/>
  <c r="A45" i="5"/>
  <c r="F45" i="5" s="1"/>
  <c r="A49" i="5"/>
  <c r="F49" i="5" s="1"/>
  <c r="A41" i="5"/>
  <c r="F41" i="5" s="1"/>
  <c r="A48" i="5"/>
  <c r="F48" i="5" s="1"/>
  <c r="A47" i="5"/>
  <c r="F47" i="5" s="1"/>
  <c r="A12" i="5"/>
  <c r="F12" i="5" s="1"/>
  <c r="A20" i="5"/>
  <c r="F20" i="5" s="1"/>
  <c r="A15" i="5"/>
  <c r="F15" i="5" s="1"/>
  <c r="A23" i="5"/>
  <c r="F23" i="5" s="1"/>
  <c r="A10" i="5"/>
  <c r="F10" i="5" s="1"/>
  <c r="A18" i="5"/>
  <c r="F18" i="5" s="1"/>
  <c r="A26" i="5"/>
  <c r="F26" i="5" s="1"/>
  <c r="A13" i="5"/>
  <c r="F13" i="5" s="1"/>
  <c r="A21" i="5"/>
  <c r="F21" i="5" s="1"/>
  <c r="A16" i="5"/>
  <c r="F16" i="5" s="1"/>
  <c r="A24" i="5"/>
  <c r="F24" i="5" s="1"/>
  <c r="A11" i="5"/>
  <c r="F11" i="5" s="1"/>
  <c r="A19" i="5"/>
  <c r="F19" i="5" s="1"/>
  <c r="A27" i="5"/>
  <c r="F27" i="5" s="1"/>
  <c r="A14" i="5"/>
  <c r="F14" i="5" s="1"/>
  <c r="A22" i="5"/>
  <c r="F22" i="5" s="1"/>
  <c r="A17" i="5"/>
  <c r="F17" i="5" s="1"/>
  <c r="F2" i="4"/>
  <c r="A36" i="5" l="1"/>
  <c r="F36" i="5" s="1"/>
  <c r="A28" i="5"/>
  <c r="F28" i="5" s="1"/>
  <c r="A35" i="5"/>
  <c r="F35" i="5" s="1"/>
  <c r="A32" i="5"/>
  <c r="F32" i="5" s="1"/>
  <c r="A30" i="5"/>
  <c r="F30" i="5" s="1"/>
  <c r="A37" i="5"/>
  <c r="F37" i="5" s="1"/>
  <c r="A34" i="5"/>
  <c r="F34" i="5" s="1"/>
  <c r="A33" i="5"/>
  <c r="F33" i="5" s="1"/>
  <c r="A38" i="5"/>
  <c r="F38" i="5" s="1"/>
  <c r="A29" i="5"/>
  <c r="F29" i="5" s="1"/>
  <c r="A39" i="5"/>
  <c r="F39" i="5" s="1"/>
  <c r="A31" i="5"/>
  <c r="F31" i="5" s="1"/>
  <c r="A52" i="5"/>
  <c r="F52" i="5" s="1"/>
  <c r="A60" i="5"/>
  <c r="F60" i="5" s="1"/>
  <c r="A68" i="5"/>
  <c r="F68" i="5" s="1"/>
  <c r="A66" i="5"/>
  <c r="F66" i="5" s="1"/>
  <c r="A67" i="5"/>
  <c r="F67" i="5" s="1"/>
  <c r="A53" i="5"/>
  <c r="F53" i="5" s="1"/>
  <c r="A61" i="5"/>
  <c r="F61" i="5" s="1"/>
  <c r="A51" i="5"/>
  <c r="F51" i="5" s="1"/>
  <c r="A56" i="5"/>
  <c r="F56" i="5" s="1"/>
  <c r="A58" i="5"/>
  <c r="F58" i="5" s="1"/>
  <c r="A54" i="5"/>
  <c r="F54" i="5" s="1"/>
  <c r="A62" i="5"/>
  <c r="F62" i="5" s="1"/>
  <c r="A64" i="5"/>
  <c r="F64" i="5" s="1"/>
  <c r="A55" i="5"/>
  <c r="F55" i="5" s="1"/>
  <c r="A63" i="5"/>
  <c r="F63" i="5" s="1"/>
  <c r="A59" i="5"/>
  <c r="F59" i="5" s="1"/>
  <c r="A57" i="5"/>
  <c r="F57" i="5" s="1"/>
  <c r="A65" i="5"/>
  <c r="F65" i="5" s="1"/>
  <c r="F156" i="4"/>
  <c r="F178" i="4"/>
  <c r="F177" i="4"/>
  <c r="F176" i="4"/>
  <c r="F175" i="4"/>
  <c r="F170" i="4"/>
  <c r="F169" i="4"/>
  <c r="F168" i="4"/>
  <c r="F167" i="4"/>
  <c r="F166" i="4"/>
  <c r="F165" i="4"/>
  <c r="F164" i="4"/>
  <c r="F163" i="4"/>
  <c r="F162" i="4"/>
  <c r="F161" i="4"/>
  <c r="F160" i="4"/>
  <c r="F159" i="4"/>
  <c r="F158" i="4"/>
  <c r="F157" i="4"/>
  <c r="F155" i="4"/>
  <c r="F154" i="4"/>
  <c r="F153" i="4"/>
  <c r="F152" i="4"/>
  <c r="F9" i="4"/>
  <c r="F8" i="4"/>
  <c r="F7" i="4"/>
  <c r="A29" i="4" s="1"/>
  <c r="F29" i="4" s="1"/>
  <c r="F6" i="4"/>
  <c r="A26" i="4" s="1"/>
  <c r="F26" i="4" s="1"/>
  <c r="F5" i="4"/>
  <c r="F4" i="4"/>
  <c r="F3" i="4"/>
  <c r="E115" i="4"/>
  <c r="E150" i="4"/>
  <c r="E6" i="4"/>
  <c r="E92" i="4"/>
  <c r="E127" i="4"/>
  <c r="E139" i="4"/>
  <c r="E80" i="4"/>
  <c r="E100" i="4"/>
  <c r="E135" i="4"/>
  <c r="E75" i="4"/>
  <c r="E169" i="4"/>
  <c r="E48" i="4"/>
  <c r="E83" i="4"/>
  <c r="E118" i="4"/>
  <c r="E145" i="4"/>
  <c r="E140" i="4"/>
  <c r="E60" i="4"/>
  <c r="E95" i="4"/>
  <c r="E14" i="4"/>
  <c r="E47" i="4"/>
  <c r="E68" i="4"/>
  <c r="E103" i="4"/>
  <c r="E16" i="4"/>
  <c r="E32" i="4"/>
  <c r="E77" i="4"/>
  <c r="F2" i="2"/>
  <c r="E40" i="4"/>
  <c r="E73" i="4"/>
  <c r="E147" i="4"/>
  <c r="E142" i="4"/>
  <c r="E159" i="4"/>
  <c r="E132" i="4"/>
  <c r="E119" i="4"/>
  <c r="E96" i="4"/>
  <c r="E42" i="4"/>
  <c r="E104" i="4"/>
  <c r="E109" i="4"/>
  <c r="E52" i="4"/>
  <c r="E4" i="4"/>
  <c r="E64" i="4"/>
  <c r="E161" i="4"/>
  <c r="E37" i="4"/>
  <c r="E133" i="4"/>
  <c r="E178" i="4"/>
  <c r="E151" i="4"/>
  <c r="E66" i="4"/>
  <c r="E2" i="4"/>
  <c r="E101" i="4"/>
  <c r="E26" i="4"/>
  <c r="E112" i="4"/>
  <c r="E44" i="4"/>
  <c r="E130" i="4"/>
  <c r="E165" i="4"/>
  <c r="E90" i="4"/>
  <c r="E152" i="4"/>
  <c r="E94" i="4"/>
  <c r="E129" i="4"/>
  <c r="E58" i="4"/>
  <c r="E27" i="4"/>
  <c r="E107" i="4"/>
  <c r="E20" i="4"/>
  <c r="E55" i="4"/>
  <c r="E156" i="4"/>
  <c r="E172" i="4"/>
  <c r="E88" i="4"/>
  <c r="E170" i="4"/>
  <c r="E8" i="4"/>
  <c r="E157" i="4"/>
  <c r="E137" i="4"/>
  <c r="E120" i="4"/>
  <c r="E70" i="4"/>
  <c r="E84" i="4"/>
  <c r="E46" i="4"/>
  <c r="E33" i="4"/>
  <c r="E162" i="4"/>
  <c r="E65" i="4"/>
  <c r="E56" i="4"/>
  <c r="E146" i="4"/>
  <c r="E102" i="4"/>
  <c r="E62" i="4"/>
  <c r="E148" i="4"/>
  <c r="E24" i="4"/>
  <c r="E98" i="4"/>
  <c r="E125" i="4"/>
  <c r="E160" i="4"/>
  <c r="E143" i="4"/>
  <c r="E168" i="4"/>
  <c r="E111" i="4"/>
  <c r="E93" i="4"/>
  <c r="E30" i="4"/>
  <c r="E38" i="4"/>
  <c r="E21" i="4"/>
  <c r="E25" i="4"/>
  <c r="E121" i="4"/>
  <c r="E85" i="4"/>
  <c r="E35" i="4"/>
  <c r="E154" i="4"/>
  <c r="E22" i="4"/>
  <c r="E49" i="4"/>
  <c r="E123" i="4"/>
  <c r="E158" i="4"/>
  <c r="E5" i="4"/>
  <c r="E3" i="4"/>
  <c r="E131" i="4"/>
  <c r="E166" i="4"/>
  <c r="E7" i="4"/>
  <c r="E78" i="4"/>
  <c r="E141" i="4"/>
  <c r="E122" i="4"/>
  <c r="E149" i="4"/>
  <c r="E17" i="4"/>
  <c r="E82" i="4"/>
  <c r="E91" i="4"/>
  <c r="E126" i="4"/>
  <c r="E153" i="4"/>
  <c r="E76" i="4"/>
  <c r="E99" i="4"/>
  <c r="E134" i="4"/>
  <c r="E51" i="4"/>
  <c r="E86" i="4"/>
  <c r="E113" i="4"/>
  <c r="E28" i="4"/>
  <c r="E63" i="4"/>
  <c r="E11" i="4"/>
  <c r="E173" i="4"/>
  <c r="E36" i="4"/>
  <c r="E71" i="4"/>
  <c r="E10" i="4"/>
  <c r="E175" i="4"/>
  <c r="E174" i="4"/>
  <c r="E19" i="4"/>
  <c r="E54" i="4"/>
  <c r="E81" i="4"/>
  <c r="E171" i="4"/>
  <c r="E155" i="4"/>
  <c r="E31" i="4"/>
  <c r="E12" i="4"/>
  <c r="E45" i="4"/>
  <c r="E163" i="4"/>
  <c r="E39" i="4"/>
  <c r="E164" i="4"/>
  <c r="E50" i="4"/>
  <c r="E23" i="4"/>
  <c r="E9" i="4"/>
  <c r="E124" i="4"/>
  <c r="E136" i="4"/>
  <c r="E41" i="4"/>
  <c r="E167" i="4"/>
  <c r="E34" i="4"/>
  <c r="E61" i="4"/>
  <c r="E110" i="4"/>
  <c r="E69" i="4"/>
  <c r="E114" i="4"/>
  <c r="E87" i="4"/>
  <c r="E144" i="4"/>
  <c r="E29" i="4"/>
  <c r="E177" i="4"/>
  <c r="E106" i="4"/>
  <c r="E79" i="4"/>
  <c r="E116" i="4"/>
  <c r="E72" i="4"/>
  <c r="E128" i="4"/>
  <c r="E74" i="4"/>
  <c r="E43" i="4"/>
  <c r="E53" i="4"/>
  <c r="E57" i="4"/>
  <c r="E176" i="4"/>
  <c r="E97" i="4"/>
  <c r="E138" i="4"/>
  <c r="E105" i="4"/>
  <c r="E117" i="4"/>
  <c r="E59" i="4"/>
  <c r="E67" i="4"/>
  <c r="E15" i="4"/>
  <c r="E108" i="4"/>
  <c r="E13" i="4"/>
  <c r="E89" i="4"/>
  <c r="E18" i="4"/>
  <c r="A172" i="4" l="1"/>
  <c r="F172" i="4" s="1"/>
  <c r="A173" i="4"/>
  <c r="F173" i="4" s="1"/>
  <c r="A174" i="4"/>
  <c r="F174" i="4" s="1"/>
  <c r="A171" i="4"/>
  <c r="F171" i="4" s="1"/>
  <c r="A19" i="4"/>
  <c r="F19" i="4" s="1"/>
  <c r="A23" i="4"/>
  <c r="F23" i="4" s="1"/>
  <c r="A27" i="4"/>
  <c r="F27" i="4" s="1"/>
  <c r="A16" i="4"/>
  <c r="F16" i="4" s="1"/>
  <c r="A13" i="4"/>
  <c r="F13" i="4" s="1"/>
  <c r="A15" i="4"/>
  <c r="F15" i="4" s="1"/>
  <c r="A38" i="4"/>
  <c r="F38" i="4" s="1"/>
  <c r="A34" i="4"/>
  <c r="F34" i="4" s="1"/>
  <c r="A39" i="4"/>
  <c r="F39" i="4" s="1"/>
  <c r="A37" i="4"/>
  <c r="F37" i="4" s="1"/>
  <c r="A35" i="4"/>
  <c r="F35" i="4" s="1"/>
  <c r="A40" i="4"/>
  <c r="F40" i="4" s="1"/>
  <c r="A36" i="4"/>
  <c r="F36" i="4" s="1"/>
  <c r="A10" i="4"/>
  <c r="F10" i="4" s="1"/>
  <c r="A14" i="4"/>
  <c r="F14" i="4" s="1"/>
  <c r="A20" i="4"/>
  <c r="F20" i="4" s="1"/>
  <c r="A24" i="4"/>
  <c r="F24" i="4" s="1"/>
  <c r="A28" i="4"/>
  <c r="F28" i="4" s="1"/>
  <c r="A11" i="4"/>
  <c r="F11" i="4" s="1"/>
  <c r="A17" i="4"/>
  <c r="F17" i="4" s="1"/>
  <c r="A21" i="4"/>
  <c r="F21" i="4" s="1"/>
  <c r="A25" i="4"/>
  <c r="F25" i="4" s="1"/>
  <c r="A12" i="4"/>
  <c r="F12" i="4" s="1"/>
  <c r="A18" i="4"/>
  <c r="F18" i="4" s="1"/>
  <c r="A22" i="4"/>
  <c r="F22" i="4" s="1"/>
  <c r="G2" i="2"/>
  <c r="F51" i="2"/>
  <c r="F104" i="2"/>
  <c r="F108" i="2"/>
  <c r="F62" i="2"/>
  <c r="F40" i="2"/>
  <c r="F5" i="2"/>
  <c r="F64" i="2"/>
  <c r="F80" i="2"/>
  <c r="F16" i="2"/>
  <c r="F38" i="2"/>
  <c r="F48" i="2"/>
  <c r="F107" i="2"/>
  <c r="F6" i="2"/>
  <c r="F32" i="2"/>
  <c r="F7" i="2"/>
  <c r="F61" i="2"/>
  <c r="F96" i="2"/>
  <c r="F45" i="2"/>
  <c r="F57" i="2"/>
  <c r="F53" i="2"/>
  <c r="F22" i="2"/>
  <c r="F52" i="2"/>
  <c r="F100" i="2"/>
  <c r="F94" i="2"/>
  <c r="F46" i="2"/>
  <c r="F56" i="2"/>
  <c r="F24" i="2"/>
  <c r="F58" i="2"/>
  <c r="F90" i="2"/>
  <c r="F23" i="2"/>
  <c r="F31" i="2"/>
  <c r="F10" i="2"/>
  <c r="F92" i="2"/>
  <c r="F74" i="2"/>
  <c r="F103" i="2"/>
  <c r="F27" i="2"/>
  <c r="F19" i="2"/>
  <c r="F50" i="2"/>
  <c r="F106" i="2"/>
  <c r="F33" i="2"/>
  <c r="F34" i="2"/>
  <c r="F60" i="2"/>
  <c r="F79" i="2"/>
  <c r="F28" i="2"/>
  <c r="F36" i="2"/>
  <c r="F66" i="2"/>
  <c r="F59" i="2"/>
  <c r="F110" i="2"/>
  <c r="F47" i="2"/>
  <c r="F9" i="2"/>
  <c r="F65" i="2"/>
  <c r="F102" i="2"/>
  <c r="F101" i="2"/>
  <c r="F81" i="2"/>
  <c r="F91" i="2"/>
  <c r="F35" i="2"/>
  <c r="F41" i="2"/>
  <c r="F112" i="2"/>
  <c r="F99" i="2"/>
  <c r="F3" i="2"/>
  <c r="F26" i="2"/>
  <c r="F111" i="2"/>
  <c r="F93" i="2"/>
  <c r="F98" i="2"/>
  <c r="F12" i="2"/>
  <c r="F29" i="2"/>
  <c r="F55" i="2"/>
  <c r="F83" i="2"/>
  <c r="F71" i="2"/>
  <c r="F72" i="2"/>
  <c r="F21" i="2"/>
  <c r="F20" i="2"/>
  <c r="F109" i="2"/>
  <c r="F18" i="2"/>
  <c r="F68" i="2"/>
  <c r="F95" i="2"/>
  <c r="F87" i="2"/>
  <c r="F25" i="2"/>
  <c r="F30" i="2"/>
  <c r="F82" i="2"/>
  <c r="F8" i="2"/>
  <c r="F63" i="2"/>
  <c r="F13" i="2"/>
  <c r="F97" i="2"/>
  <c r="F88" i="2"/>
  <c r="F84" i="2"/>
  <c r="F70" i="2"/>
  <c r="F15" i="2"/>
  <c r="F85" i="2"/>
  <c r="F105" i="2"/>
  <c r="F89" i="2"/>
  <c r="F77" i="2"/>
  <c r="F114" i="2"/>
  <c r="F44" i="2"/>
  <c r="F43" i="2"/>
  <c r="F11" i="2"/>
  <c r="F49" i="2"/>
  <c r="F75" i="2"/>
  <c r="F67" i="2"/>
  <c r="F54" i="2"/>
  <c r="F113" i="2"/>
  <c r="F4" i="2"/>
  <c r="F86" i="2"/>
  <c r="F17" i="2"/>
  <c r="F73" i="2"/>
  <c r="F37" i="2"/>
  <c r="F39" i="2"/>
  <c r="F76" i="2"/>
  <c r="F69" i="2"/>
  <c r="F14" i="2"/>
  <c r="F42" i="2"/>
  <c r="F78" i="2"/>
  <c r="A48" i="4" l="1"/>
  <c r="F48" i="4" s="1"/>
  <c r="A47" i="4"/>
  <c r="F47" i="4" s="1"/>
  <c r="A56" i="4"/>
  <c r="F56" i="4" s="1"/>
  <c r="A55" i="4"/>
  <c r="F55" i="4" s="1"/>
  <c r="A53" i="4"/>
  <c r="F53" i="4" s="1"/>
  <c r="A62" i="4"/>
  <c r="F62" i="4" s="1"/>
  <c r="A58" i="4"/>
  <c r="F58" i="4" s="1"/>
  <c r="A63" i="4"/>
  <c r="F63" i="4" s="1"/>
  <c r="A61" i="4"/>
  <c r="F61" i="4" s="1"/>
  <c r="A57" i="4"/>
  <c r="F57" i="4" s="1"/>
  <c r="A59" i="4"/>
  <c r="F59" i="4" s="1"/>
  <c r="A60" i="4"/>
  <c r="F60" i="4" s="1"/>
  <c r="A54" i="4"/>
  <c r="F54" i="4" s="1"/>
  <c r="A30" i="4"/>
  <c r="F30" i="4" s="1"/>
  <c r="A33" i="4"/>
  <c r="F33" i="4" s="1"/>
  <c r="A32" i="4"/>
  <c r="F32" i="4" s="1"/>
  <c r="A31" i="4"/>
  <c r="F31" i="4" s="1"/>
  <c r="A52" i="4"/>
  <c r="F52" i="4" s="1"/>
  <c r="A46" i="4"/>
  <c r="F46" i="4" s="1"/>
  <c r="A42" i="4"/>
  <c r="F42" i="4" s="1"/>
  <c r="A51" i="4"/>
  <c r="F51" i="4" s="1"/>
  <c r="A45" i="4"/>
  <c r="F45" i="4" s="1"/>
  <c r="A41" i="4"/>
  <c r="F41" i="4" s="1"/>
  <c r="A49" i="4"/>
  <c r="F49" i="4" s="1"/>
  <c r="A50" i="4"/>
  <c r="F50" i="4" s="1"/>
  <c r="A44" i="4"/>
  <c r="F44" i="4" s="1"/>
  <c r="A43" i="4"/>
  <c r="F43" i="4" s="1"/>
  <c r="A3" i="2"/>
  <c r="G3" i="2" s="1"/>
  <c r="A4" i="2"/>
  <c r="G4" i="2" s="1"/>
  <c r="A5" i="2"/>
  <c r="G5" i="2" s="1"/>
  <c r="A75" i="4" l="1"/>
  <c r="F75" i="4" s="1"/>
  <c r="A78" i="4"/>
  <c r="F78" i="4" s="1"/>
  <c r="A74" i="4"/>
  <c r="F74" i="4" s="1"/>
  <c r="A70" i="4"/>
  <c r="F70" i="4" s="1"/>
  <c r="A66" i="4"/>
  <c r="F66" i="4" s="1"/>
  <c r="A67" i="4"/>
  <c r="F67" i="4" s="1"/>
  <c r="A81" i="4"/>
  <c r="F81" i="4" s="1"/>
  <c r="A77" i="4"/>
  <c r="F77" i="4" s="1"/>
  <c r="A73" i="4"/>
  <c r="F73" i="4" s="1"/>
  <c r="A69" i="4"/>
  <c r="F69" i="4" s="1"/>
  <c r="A65" i="4"/>
  <c r="F65" i="4" s="1"/>
  <c r="A79" i="4"/>
  <c r="F79" i="4" s="1"/>
  <c r="A71" i="4"/>
  <c r="F71" i="4" s="1"/>
  <c r="A80" i="4"/>
  <c r="F80" i="4" s="1"/>
  <c r="A76" i="4"/>
  <c r="F76" i="4" s="1"/>
  <c r="A72" i="4"/>
  <c r="F72" i="4" s="1"/>
  <c r="A68" i="4"/>
  <c r="F68" i="4" s="1"/>
  <c r="A64" i="4"/>
  <c r="F64" i="4" s="1"/>
  <c r="A41" i="2"/>
  <c r="G41" i="2" s="1"/>
  <c r="A113" i="2" s="1"/>
  <c r="G113" i="2" s="1"/>
  <c r="A7" i="2"/>
  <c r="G7" i="2" s="1"/>
  <c r="A43" i="2"/>
  <c r="G43" i="2" s="1"/>
  <c r="A36" i="2"/>
  <c r="G36" i="2" s="1"/>
  <c r="A38" i="2"/>
  <c r="G38" i="2" s="1"/>
  <c r="A39" i="2"/>
  <c r="G39" i="2" s="1"/>
  <c r="A37" i="2"/>
  <c r="G37" i="2" s="1"/>
  <c r="A11" i="2"/>
  <c r="G11" i="2" s="1"/>
  <c r="A16" i="2"/>
  <c r="G16" i="2" s="1"/>
  <c r="A19" i="2"/>
  <c r="G19" i="2" s="1"/>
  <c r="A12" i="2"/>
  <c r="G12" i="2" s="1"/>
  <c r="A17" i="2"/>
  <c r="G17" i="2" s="1"/>
  <c r="A18" i="2"/>
  <c r="G18" i="2" s="1"/>
  <c r="A15" i="2"/>
  <c r="G15" i="2" s="1"/>
  <c r="A13" i="2"/>
  <c r="A20" i="2"/>
  <c r="G20" i="2" s="1"/>
  <c r="A22" i="2"/>
  <c r="G22" i="2" s="1"/>
  <c r="A21" i="2"/>
  <c r="G21" i="2" s="1"/>
  <c r="A10" i="2"/>
  <c r="G10" i="2" s="1"/>
  <c r="A9" i="2"/>
  <c r="G9" i="2" s="1"/>
  <c r="A92" i="4" l="1"/>
  <c r="F92" i="4" s="1"/>
  <c r="A97" i="4"/>
  <c r="F97" i="4" s="1"/>
  <c r="A96" i="4"/>
  <c r="F96" i="4" s="1"/>
  <c r="A94" i="4"/>
  <c r="F94" i="4" s="1"/>
  <c r="A111" i="4"/>
  <c r="F111" i="4" s="1"/>
  <c r="A114" i="4"/>
  <c r="F114" i="4" s="1"/>
  <c r="A110" i="4"/>
  <c r="F110" i="4" s="1"/>
  <c r="A106" i="4"/>
  <c r="F106" i="4" s="1"/>
  <c r="A102" i="4"/>
  <c r="F102" i="4" s="1"/>
  <c r="A98" i="4"/>
  <c r="F98" i="4" s="1"/>
  <c r="A90" i="4"/>
  <c r="F90" i="4" s="1"/>
  <c r="A86" i="4"/>
  <c r="F86" i="4" s="1"/>
  <c r="A82" i="4"/>
  <c r="F82" i="4" s="1"/>
  <c r="A107" i="4"/>
  <c r="F107" i="4" s="1"/>
  <c r="A83" i="4"/>
  <c r="F83" i="4" s="1"/>
  <c r="A113" i="4"/>
  <c r="F113" i="4" s="1"/>
  <c r="A109" i="4"/>
  <c r="F109" i="4" s="1"/>
  <c r="A105" i="4"/>
  <c r="F105" i="4" s="1"/>
  <c r="A101" i="4"/>
  <c r="F101" i="4" s="1"/>
  <c r="A95" i="4"/>
  <c r="F95" i="4" s="1"/>
  <c r="A89" i="4"/>
  <c r="F89" i="4" s="1"/>
  <c r="A85" i="4"/>
  <c r="F85" i="4" s="1"/>
  <c r="A103" i="4"/>
  <c r="F103" i="4" s="1"/>
  <c r="A115" i="4"/>
  <c r="F115" i="4" s="1"/>
  <c r="A99" i="4"/>
  <c r="F99" i="4" s="1"/>
  <c r="A112" i="4"/>
  <c r="F112" i="4" s="1"/>
  <c r="A108" i="4"/>
  <c r="F108" i="4" s="1"/>
  <c r="A104" i="4"/>
  <c r="F104" i="4" s="1"/>
  <c r="A100" i="4"/>
  <c r="F100" i="4" s="1"/>
  <c r="A93" i="4"/>
  <c r="F93" i="4" s="1"/>
  <c r="A88" i="4"/>
  <c r="F88" i="4" s="1"/>
  <c r="A84" i="4"/>
  <c r="F84" i="4" s="1"/>
  <c r="A91" i="4"/>
  <c r="F91" i="4" s="1"/>
  <c r="A87" i="4"/>
  <c r="F87" i="4" s="1"/>
  <c r="A45" i="2"/>
  <c r="G45" i="2" s="1"/>
  <c r="G13" i="2"/>
  <c r="A14" i="2" s="1"/>
  <c r="G14" i="2" s="1"/>
  <c r="A44" i="2"/>
  <c r="G44" i="2" s="1"/>
  <c r="A48" i="2"/>
  <c r="G48" i="2" s="1"/>
  <c r="A112" i="2"/>
  <c r="G112" i="2" s="1"/>
  <c r="A47" i="2"/>
  <c r="G47" i="2" s="1"/>
  <c r="A49" i="2"/>
  <c r="G49" i="2" s="1"/>
  <c r="A101" i="2" s="1"/>
  <c r="G101" i="2" s="1"/>
  <c r="A42" i="2"/>
  <c r="G42" i="2" s="1"/>
  <c r="A114" i="2"/>
  <c r="G114" i="2" s="1"/>
  <c r="A46" i="2"/>
  <c r="G46" i="2" s="1"/>
  <c r="A34" i="2"/>
  <c r="G34" i="2" s="1"/>
  <c r="A35" i="2"/>
  <c r="G35" i="2" s="1"/>
  <c r="A24" i="2"/>
  <c r="G24" i="2" s="1"/>
  <c r="A27" i="2"/>
  <c r="G27" i="2" s="1"/>
  <c r="A30" i="2"/>
  <c r="G30" i="2" s="1"/>
  <c r="A28" i="2"/>
  <c r="G28" i="2" s="1"/>
  <c r="A32" i="2"/>
  <c r="G32" i="2" s="1"/>
  <c r="A23" i="2"/>
  <c r="G23" i="2" s="1"/>
  <c r="A26" i="2"/>
  <c r="G26" i="2" s="1"/>
  <c r="A25" i="2"/>
  <c r="G25" i="2" s="1"/>
  <c r="A31" i="2"/>
  <c r="G31" i="2" s="1"/>
  <c r="A29" i="2"/>
  <c r="G29" i="2" s="1"/>
  <c r="A33" i="2"/>
  <c r="G33" i="2" s="1"/>
  <c r="A40" i="2"/>
  <c r="G40" i="2" s="1"/>
  <c r="A6" i="2"/>
  <c r="G6" i="2" s="1"/>
  <c r="A8" i="2"/>
  <c r="G8" i="2" s="1"/>
  <c r="A141" i="4" l="1"/>
  <c r="F141" i="4" s="1"/>
  <c r="A140" i="4"/>
  <c r="F140" i="4" s="1"/>
  <c r="A122" i="4"/>
  <c r="F122" i="4" s="1"/>
  <c r="A118" i="4"/>
  <c r="F118" i="4" s="1"/>
  <c r="A123" i="4"/>
  <c r="F123" i="4" s="1"/>
  <c r="A121" i="4"/>
  <c r="F121" i="4" s="1"/>
  <c r="A117" i="4"/>
  <c r="F117" i="4" s="1"/>
  <c r="A119" i="4"/>
  <c r="F119" i="4" s="1"/>
  <c r="A120" i="4"/>
  <c r="F120" i="4" s="1"/>
  <c r="A116" i="4"/>
  <c r="F116" i="4" s="1"/>
  <c r="A145" i="4"/>
  <c r="F145" i="4" s="1"/>
  <c r="A148" i="4"/>
  <c r="F148" i="4" s="1"/>
  <c r="A144" i="4"/>
  <c r="F144" i="4" s="1"/>
  <c r="A138" i="4"/>
  <c r="F138" i="4" s="1"/>
  <c r="A134" i="4"/>
  <c r="F134" i="4" s="1"/>
  <c r="A149" i="4"/>
  <c r="F149" i="4" s="1"/>
  <c r="A151" i="4"/>
  <c r="F151" i="4" s="1"/>
  <c r="A147" i="4"/>
  <c r="F147" i="4" s="1"/>
  <c r="A143" i="4"/>
  <c r="F143" i="4" s="1"/>
  <c r="A137" i="4"/>
  <c r="F137" i="4" s="1"/>
  <c r="A133" i="4"/>
  <c r="F133" i="4" s="1"/>
  <c r="A139" i="4"/>
  <c r="F139" i="4" s="1"/>
  <c r="A135" i="4"/>
  <c r="F135" i="4" s="1"/>
  <c r="A150" i="4"/>
  <c r="F150" i="4" s="1"/>
  <c r="A146" i="4"/>
  <c r="F146" i="4" s="1"/>
  <c r="A142" i="4"/>
  <c r="F142" i="4" s="1"/>
  <c r="A136" i="4"/>
  <c r="F136" i="4" s="1"/>
  <c r="A132" i="4"/>
  <c r="F132" i="4" s="1"/>
  <c r="A55" i="2"/>
  <c r="G55" i="2" s="1"/>
  <c r="A54" i="2"/>
  <c r="G54" i="2" s="1"/>
  <c r="A56" i="2"/>
  <c r="G56" i="2" s="1"/>
  <c r="A50" i="2"/>
  <c r="G50" i="2" s="1"/>
  <c r="A57" i="2"/>
  <c r="G57" i="2" s="1"/>
  <c r="A105" i="2"/>
  <c r="G105" i="2" s="1"/>
  <c r="A104" i="2"/>
  <c r="G104" i="2" s="1"/>
  <c r="A109" i="2"/>
  <c r="G109" i="2" s="1"/>
  <c r="A60" i="2"/>
  <c r="G60" i="2" s="1"/>
  <c r="A59" i="2"/>
  <c r="G59" i="2" s="1"/>
  <c r="A103" i="2"/>
  <c r="G103" i="2" s="1"/>
  <c r="A62" i="2"/>
  <c r="G62" i="2" s="1"/>
  <c r="A52" i="2"/>
  <c r="G52" i="2" s="1"/>
  <c r="A51" i="2"/>
  <c r="G51" i="2" s="1"/>
  <c r="A58" i="2"/>
  <c r="G58" i="2" s="1"/>
  <c r="A106" i="2"/>
  <c r="G106" i="2" s="1"/>
  <c r="A110" i="2"/>
  <c r="G110" i="2" s="1"/>
  <c r="A111" i="2"/>
  <c r="G111" i="2" s="1"/>
  <c r="A108" i="2"/>
  <c r="G108" i="2" s="1"/>
  <c r="A61" i="2"/>
  <c r="G61" i="2" s="1"/>
  <c r="A102" i="2"/>
  <c r="G102" i="2" s="1"/>
  <c r="A107" i="2"/>
  <c r="G107" i="2" s="1"/>
  <c r="A63" i="2"/>
  <c r="G63" i="2" s="1"/>
  <c r="A85" i="2" s="1"/>
  <c r="G85" i="2" s="1"/>
  <c r="A53" i="2"/>
  <c r="G53" i="2" s="1"/>
  <c r="A127" i="4" l="1"/>
  <c r="F127" i="4" s="1"/>
  <c r="A130" i="4"/>
  <c r="F130" i="4" s="1"/>
  <c r="A126" i="4"/>
  <c r="F126" i="4" s="1"/>
  <c r="A129" i="4"/>
  <c r="F129" i="4" s="1"/>
  <c r="A125" i="4"/>
  <c r="F125" i="4" s="1"/>
  <c r="A131" i="4"/>
  <c r="F131" i="4" s="1"/>
  <c r="A128" i="4"/>
  <c r="F128" i="4" s="1"/>
  <c r="A124" i="4"/>
  <c r="F124" i="4" s="1"/>
  <c r="A64" i="2"/>
  <c r="G64" i="2" s="1"/>
  <c r="A90" i="2"/>
  <c r="G90" i="2" s="1"/>
  <c r="A94" i="2"/>
  <c r="G94" i="2" s="1"/>
  <c r="A78" i="2"/>
  <c r="G78" i="2" s="1"/>
  <c r="A76" i="2"/>
  <c r="G76" i="2" s="1"/>
  <c r="A68" i="2"/>
  <c r="G68" i="2" s="1"/>
  <c r="A86" i="2"/>
  <c r="G86" i="2" s="1"/>
  <c r="A98" i="2"/>
  <c r="G98" i="2" s="1"/>
  <c r="A96" i="2"/>
  <c r="G96" i="2" s="1"/>
  <c r="A72" i="2"/>
  <c r="G72" i="2" s="1"/>
  <c r="A80" i="2"/>
  <c r="G80" i="2" s="1"/>
  <c r="A100" i="2"/>
  <c r="G100" i="2" s="1"/>
  <c r="A77" i="2"/>
  <c r="G77" i="2" s="1"/>
  <c r="A87" i="2"/>
  <c r="G87" i="2" s="1"/>
  <c r="A75" i="2"/>
  <c r="G75" i="2" s="1"/>
  <c r="A69" i="2"/>
  <c r="G69" i="2" s="1"/>
  <c r="A71" i="2"/>
  <c r="G71" i="2" s="1"/>
  <c r="A95" i="2"/>
  <c r="G95" i="2" s="1"/>
  <c r="A79" i="2"/>
  <c r="G79" i="2" s="1"/>
  <c r="A97" i="2"/>
  <c r="G97" i="2" s="1"/>
  <c r="A65" i="2"/>
  <c r="G65" i="2" s="1"/>
  <c r="A82" i="2"/>
  <c r="G82" i="2" s="1"/>
  <c r="A92" i="2"/>
  <c r="G92" i="2" s="1"/>
  <c r="A73" i="2"/>
  <c r="G73" i="2" s="1"/>
  <c r="A91" i="2"/>
  <c r="G91" i="2" s="1"/>
  <c r="A74" i="2"/>
  <c r="G74" i="2" s="1"/>
  <c r="A99" i="2"/>
  <c r="G99" i="2" s="1"/>
  <c r="A89" i="2"/>
  <c r="G89" i="2" s="1"/>
  <c r="A93" i="2"/>
  <c r="G93" i="2" s="1"/>
  <c r="A88" i="2"/>
  <c r="G88" i="2" s="1"/>
  <c r="A67" i="2"/>
  <c r="G67" i="2" s="1"/>
  <c r="A84" i="2"/>
  <c r="G84" i="2" s="1"/>
  <c r="A70" i="2"/>
  <c r="G70" i="2" s="1"/>
  <c r="A66" i="2"/>
  <c r="G66" i="2" s="1"/>
  <c r="A83" i="2"/>
  <c r="G83" i="2" s="1"/>
  <c r="A81" i="2"/>
  <c r="G81" i="2" s="1"/>
</calcChain>
</file>

<file path=xl/connections.xml><?xml version="1.0" encoding="utf-8"?>
<connections xmlns="http://schemas.openxmlformats.org/spreadsheetml/2006/main">
  <connection id="1" name="arelda" type="4" refreshedVersion="0" background="1">
    <webPr xml="1" sourceData="1" url="M:\Documents\DIMAG\Testdaten\SIP_20220328_KOST_eCH1.2F_1a-3d-IO\header\xsd\arelda.xsd" htmlTables="1" htmlFormat="all"/>
  </connection>
</connections>
</file>

<file path=xl/sharedStrings.xml><?xml version="1.0" encoding="utf-8"?>
<sst xmlns="http://schemas.openxmlformats.org/spreadsheetml/2006/main" count="1841" uniqueCount="279">
  <si>
    <t>version</t>
  </si>
  <si>
    <t>name</t>
  </si>
  <si>
    <t>base</t>
  </si>
  <si>
    <t>memberTypes</t>
  </si>
  <si>
    <t>name2</t>
  </si>
  <si>
    <t>name3</t>
  </si>
  <si>
    <t>type4</t>
  </si>
  <si>
    <t>name8</t>
  </si>
  <si>
    <t>type9</t>
  </si>
  <si>
    <t>name12</t>
  </si>
  <si>
    <t>type13</t>
  </si>
  <si>
    <t>name15</t>
  </si>
  <si>
    <t>type16</t>
  </si>
  <si>
    <t>name19</t>
  </si>
  <si>
    <t>name22</t>
  </si>
  <si>
    <t>type23</t>
  </si>
  <si>
    <t>base25</t>
  </si>
  <si>
    <t>name26</t>
  </si>
  <si>
    <t>type27</t>
  </si>
  <si>
    <t>name30</t>
  </si>
  <si>
    <t>paket</t>
  </si>
  <si>
    <t>paketSIP</t>
  </si>
  <si>
    <t>ablieferung</t>
  </si>
  <si>
    <t>ablieferungSIP</t>
  </si>
  <si>
    <t>ablieferungGeverSIP</t>
  </si>
  <si>
    <t>ablieferungFilesSIP</t>
  </si>
  <si>
    <t>provenienz</t>
  </si>
  <si>
    <t>provenienzGever</t>
  </si>
  <si>
    <t>provenienzFiles</t>
  </si>
  <si>
    <t>ordnungssystem</t>
  </si>
  <si>
    <t>ordnungssystemGever</t>
  </si>
  <si>
    <t>ordnungssystemFiles</t>
  </si>
  <si>
    <t>ordnungssystemposition</t>
  </si>
  <si>
    <t>ordnungssystempositionGever</t>
  </si>
  <si>
    <t>ordnungssystempositionFiles</t>
  </si>
  <si>
    <t>dossier</t>
  </si>
  <si>
    <t>dossierGever</t>
  </si>
  <si>
    <t>dossierFiles</t>
  </si>
  <si>
    <t>vorgangAktivitaet</t>
  </si>
  <si>
    <t>aktivitaet</t>
  </si>
  <si>
    <t>mappe</t>
  </si>
  <si>
    <t>mappeDossierGever</t>
  </si>
  <si>
    <t>mappeDokumentGever</t>
  </si>
  <si>
    <t>mappeOrdnungssystempositionFiles</t>
  </si>
  <si>
    <t>mappeDossierFiles</t>
  </si>
  <si>
    <t>mappeDokumentDateiFilesDossier</t>
  </si>
  <si>
    <t>mappeDokumentDateiFilesAblieferung</t>
  </si>
  <si>
    <t>dokument</t>
  </si>
  <si>
    <t>dokumentGever</t>
  </si>
  <si>
    <t>dokumentFiles</t>
  </si>
  <si>
    <t>inhaltsverzeichnis</t>
  </si>
  <si>
    <t>ordner</t>
  </si>
  <si>
    <t>dateiRef</t>
  </si>
  <si>
    <t>datei</t>
  </si>
  <si>
    <t>eigenschaftDatei</t>
  </si>
  <si>
    <t>archivischerVorgang</t>
  </si>
  <si>
    <t>archivischeNotiz</t>
  </si>
  <si>
    <t>unstrukturierterAnhang</t>
  </si>
  <si>
    <t>paketTyp</t>
  </si>
  <si>
    <t>zusatzDaten</t>
  </si>
  <si>
    <t>ablieferungstyp</t>
  </si>
  <si>
    <t>ablieferndeStelle</t>
  </si>
  <si>
    <t>entstehungszeitraum</t>
  </si>
  <si>
    <t>ablieferungsteile</t>
  </si>
  <si>
    <t>bemerkung</t>
  </si>
  <si>
    <t>aktenbildnerName</t>
  </si>
  <si>
    <t>systemName</t>
  </si>
  <si>
    <t>systemBeschreibung</t>
  </si>
  <si>
    <t>existenzzeitraum</t>
  </si>
  <si>
    <t>geschichteAktenbildner</t>
  </si>
  <si>
    <t>generation</t>
  </si>
  <si>
    <t>anwendungszeitraum</t>
  </si>
  <si>
    <t>mitbenutzung</t>
  </si>
  <si>
    <t>federfuehrendeOrganisationseinheit</t>
  </si>
  <si>
    <t>klassifizierungskategorie</t>
  </si>
  <si>
    <t>datenschutz</t>
  </si>
  <si>
    <t>oeffentlichkeitsstatus</t>
  </si>
  <si>
    <t>oeffentlichkeitsstatusBegruendung</t>
  </si>
  <si>
    <t>sonstigeBestimmungen</t>
  </si>
  <si>
    <t>zusatzmerkmal</t>
  </si>
  <si>
    <t>titel</t>
  </si>
  <si>
    <t>inhalt</t>
  </si>
  <si>
    <t>formInhalt</t>
  </si>
  <si>
    <t>erscheinungsform</t>
  </si>
  <si>
    <t>entstehungszeitraumAnmerkung</t>
  </si>
  <si>
    <t>arbeitsanweisung</t>
  </si>
  <si>
    <t>federfuehrung</t>
  </si>
  <si>
    <t>verweis</t>
  </si>
  <si>
    <t>eroeffnungsdatum</t>
  </si>
  <si>
    <t>autor</t>
  </si>
  <si>
    <t>dokumenttyp</t>
  </si>
  <si>
    <t>registrierdatum</t>
  </si>
  <si>
    <t>originalName</t>
  </si>
  <si>
    <t>pruefalgorithmus</t>
  </si>
  <si>
    <t>pruefsumme</t>
  </si>
  <si>
    <t>eigenschaft</t>
  </si>
  <si>
    <t>vorgangstyp</t>
  </si>
  <si>
    <t>beschreibung</t>
  </si>
  <si>
    <t>datum</t>
  </si>
  <si>
    <t>bearbeiter</t>
  </si>
  <si>
    <t>notizDatum</t>
  </si>
  <si>
    <t>notizErfasser</t>
  </si>
  <si>
    <t>notizBeschreibung</t>
  </si>
  <si>
    <t>dateiBeschreibung</t>
  </si>
  <si>
    <t>historischerZeitraum</t>
  </si>
  <si>
    <t>bemerkungAblieferung</t>
  </si>
  <si>
    <t>bemerkungProvenienz</t>
  </si>
  <si>
    <t>bemerkungOrdnungssysstem</t>
  </si>
  <si>
    <t>federfuehrendeOrganisationseinheitOrdnungssystemposition</t>
  </si>
  <si>
    <t>klassifizierungskategorieOrdnungssystemposition</t>
  </si>
  <si>
    <t>datenschutzOrdnungssystemposition</t>
  </si>
  <si>
    <t>oeffentlichkeitsstatusOrdnungssystemposition</t>
  </si>
  <si>
    <t>oeffentlichkeitsstatusBegruendungOrdnungssystemposition</t>
  </si>
  <si>
    <t>sonstigeBestimmungenOrdnungssystemposition</t>
  </si>
  <si>
    <t>titelDossier</t>
  </si>
  <si>
    <t>erscheinungsformDossier</t>
  </si>
  <si>
    <t>federfuehrendeOrganisationseinheitDossier</t>
  </si>
  <si>
    <t>klassifizierungskategorieDossier</t>
  </si>
  <si>
    <t>datenschutzDossier</t>
  </si>
  <si>
    <t>oeffentlichkeitsstatusDossier</t>
  </si>
  <si>
    <t>oeffentlichkeitsstatusBegruendungDossier</t>
  </si>
  <si>
    <t>sonstigeBestimmungenDossier</t>
  </si>
  <si>
    <t>bemerkungDossier</t>
  </si>
  <si>
    <t>titelVorgang</t>
  </si>
  <si>
    <t>arbeitsanweisungVorgang</t>
  </si>
  <si>
    <t>federfuehrungVorgang</t>
  </si>
  <si>
    <t>verweisVorgang</t>
  </si>
  <si>
    <t>bemerkungVorgang</t>
  </si>
  <si>
    <t>titelMappe</t>
  </si>
  <si>
    <t>historischerZeitpunkt</t>
  </si>
  <si>
    <t>bemerkungMappe</t>
  </si>
  <si>
    <t>titelDokument</t>
  </si>
  <si>
    <t>erscheinungsformDokument</t>
  </si>
  <si>
    <t>klassifizierungskategorieDokument</t>
  </si>
  <si>
    <t>datenschutzDokument</t>
  </si>
  <si>
    <t>oeffentlichkeitsstatusDokument</t>
  </si>
  <si>
    <t>oeffentlichkeitsstatusBegruendungDokument</t>
  </si>
  <si>
    <t>sonstigeBestimmungenDokument</t>
  </si>
  <si>
    <t>bemerkungDokument</t>
  </si>
  <si>
    <t>nameOrdner</t>
  </si>
  <si>
    <t>nameDatei</t>
  </si>
  <si>
    <t>zeitraum</t>
  </si>
  <si>
    <t>text4</t>
  </si>
  <si>
    <t>vorschreibung</t>
  </si>
  <si>
    <t>anweisung</t>
  </si>
  <si>
    <t>abschlussdatum</t>
  </si>
  <si>
    <t>vorschreibungAktivitaet</t>
  </si>
  <si>
    <t>anweisungAktivitaet</t>
  </si>
  <si>
    <t>bearbeiterAktivitaet</t>
  </si>
  <si>
    <t>abschlussdatumAktivitaet</t>
  </si>
  <si>
    <t>verweisAktivitaet</t>
  </si>
  <si>
    <t>bemerkungAktivitaet</t>
  </si>
  <si>
    <t>schemaVersion</t>
  </si>
  <si>
    <t>reihung</t>
  </si>
  <si>
    <t>id</t>
  </si>
  <si>
    <t>order</t>
  </si>
  <si>
    <t>reihungElemente</t>
  </si>
  <si>
    <t>idDossier</t>
  </si>
  <si>
    <t>orderVorgang</t>
  </si>
  <si>
    <t>orderAktivitaet</t>
  </si>
  <si>
    <t>idMappe</t>
  </si>
  <si>
    <t>idDokument</t>
  </si>
  <si>
    <t>idDatei</t>
  </si>
  <si>
    <t>idArchivischeNotiz</t>
  </si>
  <si>
    <t>referenzUebernahmedossier</t>
  </si>
  <si>
    <t>ablieferungsnummer</t>
  </si>
  <si>
    <t>angebotsnummer</t>
  </si>
  <si>
    <t>referenzBewertungsentscheid</t>
  </si>
  <si>
    <t>referenzSchutzfristenFormular</t>
  </si>
  <si>
    <t>schutzfristenkategorie</t>
  </si>
  <si>
    <t>schutzfrist</t>
  </si>
  <si>
    <t>registratur</t>
  </si>
  <si>
    <t>verwandteSysteme</t>
  </si>
  <si>
    <t>archivierungsmodusLoeschvorschriften</t>
  </si>
  <si>
    <t>nummer</t>
  </si>
  <si>
    <t>schutzfristenBegruendung</t>
  </si>
  <si>
    <t>aktenzeichen</t>
  </si>
  <si>
    <t>vorgang</t>
  </si>
  <si>
    <t>umfang</t>
  </si>
  <si>
    <t>anwendung</t>
  </si>
  <si>
    <t>schutzfristenkategorieAblieferung</t>
  </si>
  <si>
    <t>schutzfristAblieferung</t>
  </si>
  <si>
    <t>nameOrdnungssystem</t>
  </si>
  <si>
    <t>titelOrdnungssystemposition</t>
  </si>
  <si>
    <t>schutzfristenkategorieOrdnungssystemposition</t>
  </si>
  <si>
    <t>schutzfristOrdnungssystemposition</t>
  </si>
  <si>
    <t>schutzfristenBegruendungOrdnungssystemposition</t>
  </si>
  <si>
    <t>schutzfristenkategorieDossier</t>
  </si>
  <si>
    <t>schutzfristDossier</t>
  </si>
  <si>
    <t>schutzfristenBegruendungDossier</t>
  </si>
  <si>
    <t>uniqueDateiRefAblieferungMappeFiles</t>
  </si>
  <si>
    <t>uniqueDateiRefOspDossierFiles</t>
  </si>
  <si>
    <t>uniqueDateiRefOspMappeFiles</t>
  </si>
  <si>
    <t>uniqueDateiRefSubdossierFiles</t>
  </si>
  <si>
    <t>uniqueDateiRefDossierMappeFiles</t>
  </si>
  <si>
    <t>uniqueDateiRefDossierDokumentFiles</t>
  </si>
  <si>
    <t>uniqueDateiRefMappeDossierFiles</t>
  </si>
  <si>
    <t>uniqueDateiRefMappeDokumentFilesDossier</t>
  </si>
  <si>
    <t>uniqueDateiRefMappeDokumentFilesAblieferung</t>
  </si>
  <si>
    <t>uniqueDateiRefAblieferungMappeSubmappeFiles</t>
  </si>
  <si>
    <t>idOrdnungssystemposition</t>
  </si>
  <si>
    <t>xs:IDREFS</t>
  </si>
  <si>
    <t>repraesentation</t>
  </si>
  <si>
    <t>information</t>
  </si>
  <si>
    <t>dateiVersion</t>
  </si>
  <si>
    <t>dateiRepraesentation</t>
  </si>
  <si>
    <t>dateiInformation</t>
  </si>
  <si>
    <t>dateiReihung</t>
  </si>
  <si>
    <t>xs:integer xs:string xs:date</t>
  </si>
  <si>
    <t>/</t>
  </si>
  <si>
    <t>Name</t>
  </si>
  <si>
    <t>Label</t>
  </si>
  <si>
    <t>Path</t>
  </si>
  <si>
    <t>Addition</t>
  </si>
  <si>
    <t>Parent</t>
  </si>
  <si>
    <t>Type</t>
  </si>
  <si>
    <t>von</t>
  </si>
  <si>
    <t>bis</t>
  </si>
  <si>
    <t>Comment</t>
  </si>
  <si>
    <t>Deprecated!</t>
  </si>
  <si>
    <t>uniqueDateiRefUnstrukturierterAnhang</t>
  </si>
  <si>
    <t>Ordnungssystem</t>
  </si>
  <si>
    <t>Provenienz</t>
  </si>
  <si>
    <t>Mappe</t>
  </si>
  <si>
    <t>Ordnungssystemposition</t>
  </si>
  <si>
    <t>Topic</t>
  </si>
  <si>
    <t>Dossier</t>
  </si>
  <si>
    <t>DIMAG</t>
  </si>
  <si>
    <t>O</t>
  </si>
  <si>
    <t>AID</t>
  </si>
  <si>
    <t>Abgebende Stelle</t>
  </si>
  <si>
    <t>Abspieldauer</t>
  </si>
  <si>
    <t>Abweichend dokumentierter Zeitraum</t>
  </si>
  <si>
    <t>Angelegt von</t>
  </si>
  <si>
    <t>Archivaliengattung *</t>
  </si>
  <si>
    <t>Benutzungshinweise</t>
  </si>
  <si>
    <t>Beschreibung / Inhalt</t>
  </si>
  <si>
    <t>Eigenheiten</t>
  </si>
  <si>
    <t>Entstehungszeitraum *</t>
  </si>
  <si>
    <t>Farbigkeit</t>
  </si>
  <si>
    <t>Rechte</t>
  </si>
  <si>
    <t>Referenzen DIMAG-intern</t>
  </si>
  <si>
    <t>Referenzen extern</t>
  </si>
  <si>
    <t>Signaturanteil</t>
  </si>
  <si>
    <t>Signifikante Eigenschaften</t>
  </si>
  <si>
    <t>Sperrfrist</t>
  </si>
  <si>
    <t>Status</t>
  </si>
  <si>
    <t>Titel *</t>
  </si>
  <si>
    <t>Übernahme</t>
  </si>
  <si>
    <t>R</t>
  </si>
  <si>
    <t>Aufbau der Repräsentation</t>
  </si>
  <si>
    <t>Basis-Repräsentation</t>
  </si>
  <si>
    <t>Erhaltungswürdigkeit aus Archivsicht</t>
  </si>
  <si>
    <t>Hardware-Umgebung</t>
  </si>
  <si>
    <t>Installations-Erfordernisse</t>
  </si>
  <si>
    <t>Parent ID (PID)</t>
  </si>
  <si>
    <t>Software-Umgebung</t>
  </si>
  <si>
    <t>F</t>
  </si>
  <si>
    <t>Anzahl Datensätze (Zeilen)</t>
  </si>
  <si>
    <t>Anzahl Felder (Spalten)</t>
  </si>
  <si>
    <t>Scandatum</t>
  </si>
  <si>
    <t>Level</t>
  </si>
  <si>
    <t>Parent Path</t>
  </si>
  <si>
    <t>Parent Node</t>
  </si>
  <si>
    <t xml:space="preserve">aktenbildnerName </t>
  </si>
  <si>
    <t xml:space="preserve">dokumenttyp </t>
  </si>
  <si>
    <t>ca</t>
  </si>
  <si>
    <t>von/datum</t>
  </si>
  <si>
    <t>bis/datum</t>
  </si>
  <si>
    <t>per_project</t>
  </si>
  <si>
    <t>per_file</t>
  </si>
  <si>
    <t>filenamewithoutextension</t>
  </si>
  <si>
    <t>file</t>
  </si>
  <si>
    <t>Dateiname</t>
  </si>
  <si>
    <t>parent_only</t>
  </si>
  <si>
    <t>directory</t>
  </si>
  <si>
    <t>pathslice</t>
  </si>
  <si>
    <t>Ordnername</t>
  </si>
  <si>
    <t>per_aip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</si>
</sst>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141414"/>
      <name val="Segoe U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00FF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49" fontId="0" fillId="0" borderId="0" xfId="0" applyNumberFormat="1"/>
    <xf numFmtId="49" fontId="0" fillId="0" borderId="1" xfId="0" applyNumberFormat="1" applyBorder="1"/>
    <xf numFmtId="0" fontId="1" fillId="0" borderId="0" xfId="0" applyFont="1"/>
    <xf numFmtId="0" fontId="2" fillId="0" borderId="0" xfId="0" applyFont="1"/>
    <xf numFmtId="0" fontId="4" fillId="0" borderId="0" xfId="0" applyFont="1"/>
    <xf numFmtId="0" fontId="4" fillId="0" borderId="2" xfId="0" applyFont="1" applyBorder="1" applyAlignment="1">
      <alignment horizontal="center"/>
    </xf>
    <xf numFmtId="0" fontId="4" fillId="2" borderId="2" xfId="0" applyFont="1" applyFill="1" applyBorder="1"/>
    <xf numFmtId="0" fontId="4" fillId="0" borderId="2" xfId="0" applyFont="1" applyBorder="1"/>
    <xf numFmtId="0" fontId="4" fillId="0" borderId="0" xfId="0" applyFont="1" applyAlignment="1">
      <alignment horizontal="center"/>
    </xf>
    <xf numFmtId="0" fontId="0" fillId="3" borderId="0" xfId="0" applyFill="1" applyAlignment="1">
      <alignment wrapText="1"/>
    </xf>
    <xf numFmtId="0" fontId="0" fillId="4" borderId="0" xfId="0" applyFill="1" applyAlignment="1">
      <alignment wrapText="1"/>
    </xf>
    <xf numFmtId="0" fontId="0" fillId="2" borderId="0" xfId="0" applyFill="1" applyAlignment="1">
      <alignment wrapText="1"/>
    </xf>
    <xf numFmtId="0" fontId="0" fillId="5" borderId="0" xfId="0" applyFill="1" applyAlignment="1">
      <alignment wrapText="1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5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0" borderId="0" xfId="0" applyAlignment="1">
      <alignment wrapText="1"/>
    </xf>
    <xf numFmtId="49" fontId="1" fillId="0" borderId="0" xfId="0" applyNumberFormat="1" applyFont="1"/>
    <xf numFmtId="49" fontId="0" fillId="3" borderId="0" xfId="0" applyNumberFormat="1" applyFill="1" applyAlignment="1">
      <alignment wrapText="1"/>
    </xf>
    <xf numFmtId="49" fontId="0" fillId="4" borderId="0" xfId="0" applyNumberFormat="1" applyFill="1" applyAlignment="1">
      <alignment wrapText="1"/>
    </xf>
    <xf numFmtId="49" fontId="0" fillId="2" borderId="0" xfId="0" applyNumberFormat="1" applyFill="1" applyAlignment="1">
      <alignment wrapText="1"/>
    </xf>
    <xf numFmtId="49" fontId="0" fillId="5" borderId="0" xfId="0" applyNumberFormat="1" applyFill="1" applyAlignment="1">
      <alignment wrapText="1"/>
    </xf>
    <xf numFmtId="49" fontId="0" fillId="6" borderId="0" xfId="0" applyNumberFormat="1" applyFill="1"/>
    <xf numFmtId="49" fontId="0" fillId="7" borderId="0" xfId="0" applyNumberFormat="1" applyFill="1"/>
    <xf numFmtId="49" fontId="0" fillId="8" borderId="0" xfId="0" applyNumberFormat="1" applyFill="1"/>
    <xf numFmtId="49" fontId="0" fillId="5" borderId="0" xfId="0" applyNumberFormat="1" applyFill="1"/>
    <xf numFmtId="49" fontId="0" fillId="11" borderId="0" xfId="0" applyNumberFormat="1" applyFill="1"/>
    <xf numFmtId="49" fontId="0" fillId="12" borderId="0" xfId="0" applyNumberFormat="1" applyFill="1"/>
    <xf numFmtId="0" fontId="3" fillId="0" borderId="2" xfId="0" applyFont="1" applyBorder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www.w3.org/2001/XMLSchema'">
  <Schema ID="Schema1" Namespace="http://www.w3.org/2001/XMLSchema">
    <xsd:schema xmlns:xsd="http://www.w3.org/2001/XMLSchema" xmlns:ns0="http://www.w3.org/2001/XMLSchema" xmlns="" targetNamespace="http://www.w3.org/2001/XMLSchema">
      <xsd:element nillable="true" name="schema">
        <xsd:complexType>
          <xsd:sequence minOccurs="0" maxOccurs="unbounded">
            <xsd:element minOccurs="0" maxOccurs="unbounded" nillable="true" name="include" form="qualified">
              <xsd:complexType>
                <xsd:attribute name="schemaLocation" form="unqualified" type="xsd:string"/>
              </xsd:complexType>
            </xsd:element>
            <xsd:element minOccurs="0" nillable="true" name="element" form="qualified">
              <xsd:complexType>
                <xsd:attribute name="name" form="unqualified" type="xsd:string"/>
                <xsd:attribute name="type" form="unqualified" type="xsd:string"/>
              </xsd:complexType>
            </xsd:element>
            <xsd:element minOccurs="0" maxOccurs="unbounded" nillable="true" name="complexType" form="qualified">
              <xsd:complexType>
                <xsd:sequence minOccurs="0" maxOccurs="unbounded">
                  <xsd:element minOccurs="0" nillable="true" name="sequence" form="qualified">
                    <xsd:complexType>
                      <xsd:sequence minOccurs="0" maxOccurs="unbounded">
                        <xsd:element minOccurs="0" maxOccurs="unbounded" nillable="true" name="element" form="qualified">
                          <xsd:complexType>
                            <xsd:sequence minOccurs="0">
                              <xsd:element minOccurs="0" nillable="true" name="annotation" form="qualified">
                                <xsd:complexType>
                                  <xsd:sequence minOccurs="0">
                                    <xsd:element minOccurs="0" nillable="true" type="xsd:string" name="documentation" form="qualified"/>
                                  </xsd:sequence>
                                </xsd:complexType>
                              </xsd:element>
                              <xsd:element minOccurs="0" nillable="true" name="unique" form="qualified">
                                <xsd:complexType>
                                  <xsd:sequence minOccurs="0">
                                    <xsd:element minOccurs="0" nillable="true" name="selector" form="qualified">
                                      <xsd:complexType>
                                        <xsd:attribute name="xpath" form="unqualified" type="xsd:string"/>
                                      </xsd:complexType>
                                    </xsd:element>
                                    <xsd:element minOccurs="0" nillable="true" name="field" form="qualified">
                                      <xsd:complexType>
                                        <xsd:attribute name="xpath" form="unqualified" type="xsd:string"/>
                                      </xsd:complexType>
                                    </xsd:element>
                                  </xsd:sequence>
                                  <xsd:attribute name="nam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type" form="unqualified" type="xsd:string"/>
                            <xsd:attribute name="minOccurs" form="unqualified" type="xsd:integer"/>
                            <xsd:attribute name="maxOccurs" form="unqualified" type="xsd:string"/>
                          </xsd:complexType>
                        </xsd:element>
                        <xsd:element minOccurs="0" nillable="true" name="sequence" form="qualified">
                          <xsd:complexType>
                            <xsd:sequence minOccurs="0">
                              <xsd:element minOccurs="0" maxOccurs="unbounded" nillable="true" name="element" form="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minOccurs" form="unqualified" type="xsd:integer"/>
                                  <xsd:attribute name="maxOccurs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  <xsd:attribute name="minOccurs" form="unqualified" type="xsd:integer"/>
                    </xsd:complexType>
                  </xsd:element>
                  <xsd:element minOccurs="0" maxOccurs="unbounded" nillable="true" name="attribute" form="qualified">
                    <xsd:complexType>
                      <xsd:sequence minOccurs="0">
                        <xsd:element minOccurs="0" nillable="true" name="annotation" form="qualified">
                          <xsd:complexType>
                            <xsd:sequence minOccurs="0">
                              <xsd:element minOccurs="0" nillable="true" type="xsd:string" name="documentation" form="qualified"/>
                            </xsd:sequence>
                          </xsd:complexType>
                        </xsd:element>
                      </xsd:sequence>
                      <xsd:attribute name="name" form="unqualified" type="xsd:string"/>
                      <xsd:attribute name="type" form="unqualified" type="xsd:string"/>
                      <xsd:attribute name="use" form="unqualified" type="xsd:string"/>
                    </xsd:complexType>
                  </xsd:element>
                  <xsd:element minOccurs="0" nillable="true" name="complexContent" form="qualified">
                    <xsd:complexType>
                      <xsd:sequence minOccurs="0">
                        <xsd:element minOccurs="0" nillable="true" name="extension" form="qualified">
                          <xsd:complexType>
                            <xsd:sequence minOccurs="0">
                              <xsd:element minOccurs="0" nillable="true" name="sequence" form="qualified">
                                <xsd:complexType>
                                  <xsd:sequence minOccurs="0">
                                    <xsd:element minOccurs="0" maxOccurs="unbounded" nillable="true" name="element" form="qualified">
                                      <xsd:complexType>
                                        <xsd:sequence minOccurs="0">
                                          <xsd:element minOccurs="0" nillable="true" name="unique" form="qualified">
                                            <xsd:complexType>
                                              <xsd:sequence minOccurs="0">
                                                <xsd:element minOccurs="0" nillable="true" name="selector" form="qualified">
                                                  <xsd:complexType>
                                                    <xsd:attribute name="xpath" form="unqualified" type="xsd:string"/>
                                                  </xsd:complexType>
                                                </xsd:element>
                                                <xsd:element minOccurs="0" nillable="true" name="field" form="qualified">
                                                  <xsd:complexType>
                                                    <xsd:attribute name="xpath" form="unqualified" type="xsd:string"/>
                                                  </xsd:complexType>
                                                </xsd:element>
                                              </xsd:sequence>
                                              <xsd:attribute name="name" form="unqualified" type="xsd:string"/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type" form="unqualified" type="xsd:string"/>
                                        <xsd:attribute name="minOccurs" form="unqualified" type="xsd:integer"/>
                                        <xsd:attribute name="maxOccurs" form="unqualified" type="xsd:string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name="attribute" form="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use" form="unqualified" type="xsd:string"/>
                                </xsd:complexType>
                              </xsd:element>
                            </xsd:sequence>
                            <xsd:attribute name="base" form="unqualified" type="xsd:string"/>
                          </xsd:complexType>
                        </xsd:element>
                      </xsd:sequence>
                    </xsd:complexType>
                  </xsd:element>
                  <xsd:element minOccurs="0" nillable="true" name="simpleContent" form="qualified">
                    <xsd:complexType>
                      <xsd:sequence minOccurs="0">
                        <xsd:element minOccurs="0" nillable="true" name="extension" form="qualified">
                          <xsd:complexType>
                            <xsd:sequence minOccurs="0">
                              <xsd:element minOccurs="0" maxOccurs="unbounded" nillable="true" name="attribute" form="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use" form="unqualified" type="xsd:string"/>
                                </xsd:complexType>
                              </xsd:element>
                            </xsd:sequence>
                            <xsd:attribute name="base" form="unqualified" type="xsd:string"/>
                          </xsd:complexType>
                        </xsd:element>
                      </xsd:sequence>
                    </xsd:complexType>
                  </xsd:element>
                  <xsd:element minOccurs="0" nillable="true" name="annotation" form="qualified">
                    <xsd:complexType>
                      <xsd:sequence minOccurs="0">
                        <xsd:element minOccurs="0" nillable="true" type="xsd:string" name="documentation" form="qualified"/>
                      </xsd:sequence>
                    </xsd:complexType>
                  </xsd:element>
                </xsd:sequence>
                <xsd:attribute name="name" form="unqualified" type="xsd:string"/>
                <xsd:attribute name="abstract" form="unqualified" type="xsd:boolean"/>
                <xsd:attribute name="mixed" form="unqualified" type="xsd:boolean"/>
              </xsd:complexType>
            </xsd:element>
            <xsd:element minOccurs="0" nillable="true" name="simpleType" form="qualified">
              <xsd:complexType>
                <xsd:sequence minOccurs="0">
                  <xsd:element minOccurs="0" nillable="true" name="union" form="qualified">
                    <xsd:complexType>
                      <xsd:attribute name="memberTypes" form="unqualified" type="xsd:string"/>
                    </xsd:complexType>
                  </xsd:element>
                </xsd:sequence>
                <xsd:attribute name="name" form="unqualified" type="xsd:string"/>
              </xsd:complexType>
            </xsd:element>
          </xsd:sequence>
          <xsd:attribute name="targetNamespace" form="unqualified" type="xsd:anyURI"/>
          <xsd:attribute name="elementFormDefault" form="unqualified" type="xsd:string"/>
          <xsd:attribute name="attributeFormDefault" form="unqualified" type="xsd:string"/>
          <xsd:attribute name="version" form="unqualified" type="xsd:double"/>
        </xsd:complexType>
      </xsd:element>
    </xsd:schema>
  </Schema>
  <Map ID="1" Name="schema_Zuordnung" RootElement="schema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elle1" displayName="Tabelle1" ref="A1:R199" tableType="xml" totalsRowShown="0" connectionId="1">
  <autoFilter ref="A1:R199"/>
  <tableColumns count="18">
    <tableColumn id="8" uniqueName="name" name="name2">
      <xmlColumnPr mapId="1" xpath="/ns1:schema/ns1:complexType/@name" xmlDataType="string"/>
    </tableColumn>
    <tableColumn id="12" uniqueName="name" name="name3">
      <xmlColumnPr mapId="1" xpath="/ns1:schema/ns1:complexType/ns1:sequence/ns1:element/@name" xmlDataType="string"/>
    </tableColumn>
    <tableColumn id="13" uniqueName="type" name="type4">
      <xmlColumnPr mapId="1" xpath="/ns1:schema/ns1:complexType/ns1:sequence/ns1:element/@type" xmlDataType="string"/>
    </tableColumn>
    <tableColumn id="20" uniqueName="name" name="name8">
      <xmlColumnPr mapId="1" xpath="/ns1:schema/ns1:complexType/ns1:sequence/ns1:sequence/ns1:element/@name" xmlDataType="string"/>
    </tableColumn>
    <tableColumn id="21" uniqueName="type" name="type9">
      <xmlColumnPr mapId="1" xpath="/ns1:schema/ns1:complexType/ns1:sequence/ns1:sequence/ns1:element/@type" xmlDataType="string"/>
    </tableColumn>
    <tableColumn id="24" uniqueName="name" name="name12">
      <xmlColumnPr mapId="1" xpath="/ns1:schema/ns1:complexType/ns1:attribute/@name" xmlDataType="string"/>
    </tableColumn>
    <tableColumn id="25" uniqueName="type" name="type13">
      <xmlColumnPr mapId="1" xpath="/ns1:schema/ns1:complexType/ns1:attribute/@type" xmlDataType="string"/>
    </tableColumn>
    <tableColumn id="28" uniqueName="base" name="base">
      <xmlColumnPr mapId="1" xpath="/ns1:schema/ns1:complexType/ns1:complexContent/ns1:extension/@base" xmlDataType="string"/>
    </tableColumn>
    <tableColumn id="29" uniqueName="name" name="name15">
      <xmlColumnPr mapId="1" xpath="/ns1:schema/ns1:complexType/ns1:complexContent/ns1:extension/ns1:sequence/ns1:element/@name" xmlDataType="string"/>
    </tableColumn>
    <tableColumn id="30" uniqueName="type" name="type16">
      <xmlColumnPr mapId="1" xpath="/ns1:schema/ns1:complexType/ns1:complexContent/ns1:extension/ns1:sequence/ns1:element/@type" xmlDataType="string"/>
    </tableColumn>
    <tableColumn id="33" uniqueName="name" name="name19">
      <xmlColumnPr mapId="1" xpath="/ns1:schema/ns1:complexType/ns1:complexContent/ns1:extension/ns1:sequence/ns1:element/ns1:unique/@name" xmlDataType="string"/>
    </tableColumn>
    <tableColumn id="36" uniqueName="name" name="name22">
      <xmlColumnPr mapId="1" xpath="/ns1:schema/ns1:complexType/ns1:complexContent/ns1:extension/ns1:attribute/@name" xmlDataType="string"/>
    </tableColumn>
    <tableColumn id="37" uniqueName="type" name="type23">
      <xmlColumnPr mapId="1" xpath="/ns1:schema/ns1:complexType/ns1:complexContent/ns1:extension/ns1:attribute/@type" xmlDataType="string"/>
    </tableColumn>
    <tableColumn id="39" uniqueName="base" name="base25">
      <xmlColumnPr mapId="1" xpath="/ns1:schema/ns1:complexType/ns1:simpleContent/ns1:extension/@base" xmlDataType="string"/>
    </tableColumn>
    <tableColumn id="40" uniqueName="name" name="name26">
      <xmlColumnPr mapId="1" xpath="/ns1:schema/ns1:complexType/ns1:simpleContent/ns1:extension/ns1:attribute/@name" xmlDataType="string"/>
    </tableColumn>
    <tableColumn id="41" uniqueName="type" name="type27">
      <xmlColumnPr mapId="1" xpath="/ns1:schema/ns1:complexType/ns1:simpleContent/ns1:extension/ns1:attribute/@type" xmlDataType="string"/>
    </tableColumn>
    <tableColumn id="44" uniqueName="name" name="name30">
      <xmlColumnPr mapId="1" xpath="/ns1:schema/ns1:simpleType/@name" xmlDataType="string"/>
    </tableColumn>
    <tableColumn id="45" uniqueName="memberTypes" name="memberTypes">
      <xmlColumnPr mapId="1" xpath="/ns1:schema/ns1:simpleType/ns1:union/@memberTypes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R199"/>
  <sheetViews>
    <sheetView topLeftCell="A100" workbookViewId="0">
      <selection activeCell="B117" sqref="B117"/>
    </sheetView>
  </sheetViews>
  <sheetFormatPr baseColWidth="10" defaultRowHeight="14.4" x14ac:dyDescent="0.3"/>
  <cols>
    <col min="1" max="1" width="36.44140625" bestFit="1" customWidth="1"/>
    <col min="2" max="2" width="34.44140625" bestFit="1" customWidth="1"/>
    <col min="3" max="3" width="57.33203125" bestFit="1" customWidth="1"/>
    <col min="4" max="4" width="15.109375" bestFit="1" customWidth="1"/>
    <col min="5" max="5" width="24.109375" bestFit="1" customWidth="1"/>
    <col min="6" max="6" width="14.44140625" bestFit="1" customWidth="1"/>
    <col min="7" max="7" width="17.6640625" bestFit="1" customWidth="1"/>
    <col min="8" max="8" width="23.109375" bestFit="1" customWidth="1"/>
    <col min="9" max="9" width="36.109375" bestFit="1" customWidth="1"/>
    <col min="10" max="10" width="47.44140625" bestFit="1" customWidth="1"/>
    <col min="11" max="11" width="46.109375" bestFit="1" customWidth="1"/>
    <col min="12" max="12" width="10.33203125" bestFit="1" customWidth="1"/>
    <col min="13" max="13" width="25.109375" bestFit="1" customWidth="1"/>
    <col min="14" max="14" width="11.33203125" bestFit="1" customWidth="1"/>
    <col min="15" max="15" width="15.33203125" bestFit="1" customWidth="1"/>
    <col min="16" max="16" width="20.44140625" bestFit="1" customWidth="1"/>
    <col min="17" max="17" width="16.44140625" bestFit="1" customWidth="1"/>
    <col min="18" max="18" width="24.77734375" bestFit="1" customWidth="1"/>
  </cols>
  <sheetData>
    <row r="1" spans="1:18" x14ac:dyDescent="0.3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2</v>
      </c>
      <c r="I1" t="s">
        <v>11</v>
      </c>
      <c r="J1" t="s">
        <v>12</v>
      </c>
      <c r="K1" t="s">
        <v>13</v>
      </c>
      <c r="L1" t="s">
        <v>14</v>
      </c>
      <c r="M1" t="s">
        <v>15</v>
      </c>
      <c r="N1" t="s">
        <v>16</v>
      </c>
      <c r="O1" t="s">
        <v>17</v>
      </c>
      <c r="P1" t="s">
        <v>18</v>
      </c>
      <c r="Q1" t="s">
        <v>19</v>
      </c>
      <c r="R1" t="s">
        <v>3</v>
      </c>
    </row>
    <row r="2" spans="1:18" x14ac:dyDescent="0.3">
      <c r="A2" s="1" t="s">
        <v>20</v>
      </c>
      <c r="B2" s="1" t="s">
        <v>58</v>
      </c>
      <c r="C2" s="1" t="s">
        <v>58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</row>
    <row r="3" spans="1:18" x14ac:dyDescent="0.3">
      <c r="A3" s="1" t="s">
        <v>20</v>
      </c>
      <c r="B3" s="1" t="s">
        <v>59</v>
      </c>
      <c r="C3" s="1" t="s">
        <v>59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</row>
    <row r="4" spans="1:18" x14ac:dyDescent="0.3">
      <c r="A4" s="1" t="s">
        <v>20</v>
      </c>
      <c r="B4" s="1"/>
      <c r="C4" s="1"/>
      <c r="D4" s="1"/>
      <c r="E4" s="1"/>
      <c r="F4" s="1" t="s">
        <v>152</v>
      </c>
      <c r="G4" s="1" t="s">
        <v>152</v>
      </c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1:18" x14ac:dyDescent="0.3">
      <c r="A5" s="1" t="s">
        <v>21</v>
      </c>
      <c r="B5" s="1"/>
      <c r="C5" s="1"/>
      <c r="D5" s="1"/>
      <c r="E5" s="1"/>
      <c r="F5" s="1"/>
      <c r="G5" s="1"/>
      <c r="H5" s="1" t="s">
        <v>20</v>
      </c>
      <c r="I5" s="1" t="s">
        <v>50</v>
      </c>
      <c r="J5" s="1" t="s">
        <v>50</v>
      </c>
      <c r="K5" s="1"/>
      <c r="L5" s="1"/>
      <c r="M5" s="1"/>
      <c r="N5" s="1"/>
      <c r="O5" s="1"/>
      <c r="P5" s="1"/>
      <c r="Q5" s="1"/>
      <c r="R5" s="1"/>
    </row>
    <row r="6" spans="1:18" x14ac:dyDescent="0.3">
      <c r="A6" s="1" t="s">
        <v>21</v>
      </c>
      <c r="B6" s="1"/>
      <c r="C6" s="1"/>
      <c r="D6" s="1"/>
      <c r="E6" s="1"/>
      <c r="F6" s="1"/>
      <c r="G6" s="1"/>
      <c r="H6" s="1" t="s">
        <v>20</v>
      </c>
      <c r="I6" s="1" t="s">
        <v>22</v>
      </c>
      <c r="J6" s="1" t="s">
        <v>23</v>
      </c>
      <c r="K6" s="1"/>
      <c r="L6" s="1"/>
      <c r="M6" s="1"/>
      <c r="N6" s="1"/>
      <c r="O6" s="1"/>
      <c r="P6" s="1"/>
      <c r="Q6" s="1"/>
      <c r="R6" s="1"/>
    </row>
    <row r="7" spans="1:18" x14ac:dyDescent="0.3">
      <c r="A7" s="1" t="s">
        <v>21</v>
      </c>
      <c r="B7" s="1"/>
      <c r="C7" s="1"/>
      <c r="D7" s="1"/>
      <c r="E7" s="1"/>
      <c r="F7" s="1"/>
      <c r="G7" s="1"/>
      <c r="H7" s="1" t="s">
        <v>20</v>
      </c>
      <c r="I7" s="1" t="s">
        <v>55</v>
      </c>
      <c r="J7" s="1" t="s">
        <v>55</v>
      </c>
      <c r="K7" s="1"/>
      <c r="L7" s="1"/>
      <c r="M7" s="1"/>
      <c r="N7" s="1"/>
      <c r="O7" s="1"/>
      <c r="P7" s="1"/>
      <c r="Q7" s="1"/>
      <c r="R7" s="1"/>
    </row>
    <row r="8" spans="1:18" x14ac:dyDescent="0.3">
      <c r="A8" s="1" t="s">
        <v>21</v>
      </c>
      <c r="B8" s="1"/>
      <c r="C8" s="1"/>
      <c r="D8" s="1"/>
      <c r="E8" s="1"/>
      <c r="F8" s="1"/>
      <c r="G8" s="1"/>
      <c r="H8" s="1" t="s">
        <v>20</v>
      </c>
      <c r="I8" s="1" t="s">
        <v>164</v>
      </c>
      <c r="J8" s="1" t="s">
        <v>164</v>
      </c>
      <c r="K8" s="1"/>
      <c r="L8" s="1"/>
      <c r="M8" s="1"/>
      <c r="N8" s="1"/>
      <c r="O8" s="1"/>
      <c r="P8" s="1"/>
      <c r="Q8" s="1"/>
      <c r="R8" s="1"/>
    </row>
    <row r="9" spans="1:18" x14ac:dyDescent="0.3">
      <c r="A9" s="1" t="s">
        <v>21</v>
      </c>
      <c r="B9" s="1"/>
      <c r="C9" s="1"/>
      <c r="D9" s="1"/>
      <c r="E9" s="1"/>
      <c r="F9" s="1"/>
      <c r="G9" s="1"/>
      <c r="H9" s="1" t="s">
        <v>20</v>
      </c>
      <c r="I9" s="1" t="s">
        <v>56</v>
      </c>
      <c r="J9" s="1" t="s">
        <v>56</v>
      </c>
      <c r="K9" s="1"/>
      <c r="L9" s="1"/>
      <c r="M9" s="1"/>
      <c r="N9" s="1"/>
      <c r="O9" s="1"/>
      <c r="P9" s="1"/>
      <c r="Q9" s="1"/>
      <c r="R9" s="1"/>
    </row>
    <row r="10" spans="1:18" x14ac:dyDescent="0.3">
      <c r="A10" s="1" t="s">
        <v>22</v>
      </c>
      <c r="B10" s="1" t="s">
        <v>60</v>
      </c>
      <c r="C10" s="1" t="s">
        <v>60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</row>
    <row r="11" spans="1:18" x14ac:dyDescent="0.3">
      <c r="A11" s="1" t="s">
        <v>22</v>
      </c>
      <c r="B11" s="1" t="s">
        <v>61</v>
      </c>
      <c r="C11" s="1" t="s">
        <v>61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</row>
    <row r="12" spans="1:18" x14ac:dyDescent="0.3">
      <c r="A12" s="1" t="s">
        <v>22</v>
      </c>
      <c r="B12" s="1" t="s">
        <v>62</v>
      </c>
      <c r="C12" s="1" t="s">
        <v>104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</row>
    <row r="13" spans="1:18" x14ac:dyDescent="0.3">
      <c r="A13" s="1" t="s">
        <v>22</v>
      </c>
      <c r="B13" s="1" t="s">
        <v>63</v>
      </c>
      <c r="C13" s="1" t="s">
        <v>63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</row>
    <row r="14" spans="1:18" x14ac:dyDescent="0.3">
      <c r="A14" s="1" t="s">
        <v>22</v>
      </c>
      <c r="B14" s="1" t="s">
        <v>64</v>
      </c>
      <c r="C14" s="1" t="s">
        <v>105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</row>
    <row r="15" spans="1:18" x14ac:dyDescent="0.3">
      <c r="A15" s="1" t="s">
        <v>22</v>
      </c>
      <c r="B15" s="1" t="s">
        <v>59</v>
      </c>
      <c r="C15" s="1" t="s">
        <v>59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spans="1:18" x14ac:dyDescent="0.3">
      <c r="A16" s="1" t="s">
        <v>22</v>
      </c>
      <c r="B16" s="1" t="s">
        <v>57</v>
      </c>
      <c r="C16" s="1" t="s">
        <v>57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spans="1:18" x14ac:dyDescent="0.3">
      <c r="A17" s="1" t="s">
        <v>23</v>
      </c>
      <c r="B17" s="1"/>
      <c r="C17" s="1"/>
      <c r="D17" s="1"/>
      <c r="E17" s="1"/>
      <c r="F17" s="1"/>
      <c r="G17" s="1"/>
      <c r="H17" s="1" t="s">
        <v>22</v>
      </c>
      <c r="I17" s="1" t="s">
        <v>165</v>
      </c>
      <c r="J17" s="1" t="s">
        <v>165</v>
      </c>
      <c r="K17" s="1"/>
      <c r="L17" s="1"/>
      <c r="M17" s="1"/>
      <c r="N17" s="1"/>
      <c r="O17" s="1"/>
      <c r="P17" s="1"/>
      <c r="Q17" s="1"/>
      <c r="R17" s="1"/>
    </row>
    <row r="18" spans="1:18" x14ac:dyDescent="0.3">
      <c r="A18" s="1" t="s">
        <v>23</v>
      </c>
      <c r="B18" s="1"/>
      <c r="C18" s="1"/>
      <c r="D18" s="1"/>
      <c r="E18" s="1"/>
      <c r="F18" s="1"/>
      <c r="G18" s="1"/>
      <c r="H18" s="1" t="s">
        <v>22</v>
      </c>
      <c r="I18" s="1" t="s">
        <v>166</v>
      </c>
      <c r="J18" s="1" t="s">
        <v>166</v>
      </c>
      <c r="K18" s="1"/>
      <c r="L18" s="1"/>
      <c r="M18" s="1"/>
      <c r="N18" s="1"/>
      <c r="O18" s="1"/>
      <c r="P18" s="1"/>
      <c r="Q18" s="1"/>
      <c r="R18" s="1"/>
    </row>
    <row r="19" spans="1:18" x14ac:dyDescent="0.3">
      <c r="A19" s="1" t="s">
        <v>23</v>
      </c>
      <c r="B19" s="1"/>
      <c r="C19" s="1"/>
      <c r="D19" s="1"/>
      <c r="E19" s="1"/>
      <c r="F19" s="1"/>
      <c r="G19" s="1"/>
      <c r="H19" s="1" t="s">
        <v>22</v>
      </c>
      <c r="I19" s="1" t="s">
        <v>167</v>
      </c>
      <c r="J19" s="1" t="s">
        <v>167</v>
      </c>
      <c r="K19" s="1"/>
      <c r="L19" s="1"/>
      <c r="M19" s="1"/>
      <c r="N19" s="1"/>
      <c r="O19" s="1"/>
      <c r="P19" s="1"/>
      <c r="Q19" s="1"/>
      <c r="R19" s="1"/>
    </row>
    <row r="20" spans="1:18" x14ac:dyDescent="0.3">
      <c r="A20" s="1" t="s">
        <v>23</v>
      </c>
      <c r="B20" s="1"/>
      <c r="C20" s="1"/>
      <c r="D20" s="1"/>
      <c r="E20" s="1"/>
      <c r="F20" s="1"/>
      <c r="G20" s="1"/>
      <c r="H20" s="1" t="s">
        <v>22</v>
      </c>
      <c r="I20" s="1" t="s">
        <v>168</v>
      </c>
      <c r="J20" s="1" t="s">
        <v>168</v>
      </c>
      <c r="K20" s="1"/>
      <c r="L20" s="1"/>
      <c r="M20" s="1"/>
      <c r="N20" s="1"/>
      <c r="O20" s="1"/>
      <c r="P20" s="1"/>
      <c r="Q20" s="1"/>
      <c r="R20" s="1"/>
    </row>
    <row r="21" spans="1:18" x14ac:dyDescent="0.3">
      <c r="A21" s="1" t="s">
        <v>23</v>
      </c>
      <c r="B21" s="1"/>
      <c r="C21" s="1"/>
      <c r="D21" s="1"/>
      <c r="E21" s="1"/>
      <c r="F21" s="1"/>
      <c r="G21" s="1"/>
      <c r="H21" s="1" t="s">
        <v>22</v>
      </c>
      <c r="I21" s="1" t="s">
        <v>169</v>
      </c>
      <c r="J21" s="1" t="s">
        <v>180</v>
      </c>
      <c r="K21" s="1"/>
      <c r="L21" s="1"/>
      <c r="M21" s="1"/>
      <c r="N21" s="1"/>
      <c r="O21" s="1"/>
      <c r="P21" s="1"/>
      <c r="Q21" s="1"/>
      <c r="R21" s="1"/>
    </row>
    <row r="22" spans="1:18" x14ac:dyDescent="0.3">
      <c r="A22" s="1" t="s">
        <v>23</v>
      </c>
      <c r="B22" s="1"/>
      <c r="C22" s="1"/>
      <c r="D22" s="1"/>
      <c r="E22" s="1"/>
      <c r="F22" s="1"/>
      <c r="G22" s="1"/>
      <c r="H22" s="1" t="s">
        <v>22</v>
      </c>
      <c r="I22" s="1" t="s">
        <v>170</v>
      </c>
      <c r="J22" s="1" t="s">
        <v>181</v>
      </c>
      <c r="K22" s="1"/>
      <c r="L22" s="1"/>
      <c r="M22" s="1"/>
      <c r="N22" s="1"/>
      <c r="O22" s="1"/>
      <c r="P22" s="1"/>
      <c r="Q22" s="1"/>
      <c r="R22" s="1"/>
    </row>
    <row r="23" spans="1:18" x14ac:dyDescent="0.3">
      <c r="A23" s="1" t="s">
        <v>23</v>
      </c>
      <c r="B23" s="1"/>
      <c r="C23" s="1"/>
      <c r="D23" s="1"/>
      <c r="E23" s="1"/>
      <c r="F23" s="1"/>
      <c r="G23" s="1"/>
      <c r="H23" s="1" t="s">
        <v>22</v>
      </c>
      <c r="I23" s="1" t="s">
        <v>56</v>
      </c>
      <c r="J23" s="1" t="s">
        <v>56</v>
      </c>
      <c r="K23" s="1"/>
      <c r="L23" s="1"/>
      <c r="M23" s="1"/>
      <c r="N23" s="1"/>
      <c r="O23" s="1"/>
      <c r="P23" s="1"/>
      <c r="Q23" s="1"/>
      <c r="R23" s="1"/>
    </row>
    <row r="24" spans="1:18" x14ac:dyDescent="0.3">
      <c r="A24" s="1" t="s">
        <v>24</v>
      </c>
      <c r="B24" s="1"/>
      <c r="C24" s="1"/>
      <c r="D24" s="1"/>
      <c r="E24" s="1"/>
      <c r="F24" s="1"/>
      <c r="G24" s="1"/>
      <c r="H24" s="1" t="s">
        <v>23</v>
      </c>
      <c r="I24" s="1" t="s">
        <v>26</v>
      </c>
      <c r="J24" s="1" t="s">
        <v>27</v>
      </c>
      <c r="K24" s="1"/>
      <c r="L24" s="1"/>
      <c r="M24" s="1"/>
      <c r="N24" s="1"/>
      <c r="O24" s="1"/>
      <c r="P24" s="1"/>
      <c r="Q24" s="1"/>
      <c r="R24" s="1"/>
    </row>
    <row r="25" spans="1:18" x14ac:dyDescent="0.3">
      <c r="A25" s="1" t="s">
        <v>24</v>
      </c>
      <c r="B25" s="1"/>
      <c r="C25" s="1"/>
      <c r="D25" s="1"/>
      <c r="E25" s="1"/>
      <c r="F25" s="1"/>
      <c r="G25" s="1"/>
      <c r="H25" s="1" t="s">
        <v>23</v>
      </c>
      <c r="I25" s="1" t="s">
        <v>29</v>
      </c>
      <c r="J25" s="1" t="s">
        <v>30</v>
      </c>
      <c r="K25" s="1"/>
      <c r="L25" s="1"/>
      <c r="M25" s="1"/>
      <c r="N25" s="1"/>
      <c r="O25" s="1"/>
      <c r="P25" s="1"/>
      <c r="Q25" s="1"/>
      <c r="R25" s="1"/>
    </row>
    <row r="26" spans="1:18" x14ac:dyDescent="0.3">
      <c r="A26" s="1" t="s">
        <v>25</v>
      </c>
      <c r="B26" s="1"/>
      <c r="C26" s="1"/>
      <c r="D26" s="1"/>
      <c r="E26" s="1"/>
      <c r="F26" s="1"/>
      <c r="G26" s="1"/>
      <c r="H26" s="1" t="s">
        <v>23</v>
      </c>
      <c r="I26" s="1" t="s">
        <v>26</v>
      </c>
      <c r="J26" s="1" t="s">
        <v>28</v>
      </c>
      <c r="K26" s="1"/>
      <c r="L26" s="1"/>
      <c r="M26" s="1"/>
      <c r="N26" s="1"/>
      <c r="O26" s="1"/>
      <c r="P26" s="1"/>
      <c r="Q26" s="1"/>
      <c r="R26" s="1"/>
    </row>
    <row r="27" spans="1:18" x14ac:dyDescent="0.3">
      <c r="A27" s="1" t="s">
        <v>25</v>
      </c>
      <c r="B27" s="1"/>
      <c r="C27" s="1"/>
      <c r="D27" s="1"/>
      <c r="E27" s="1"/>
      <c r="F27" s="1"/>
      <c r="G27" s="1"/>
      <c r="H27" s="1" t="s">
        <v>23</v>
      </c>
      <c r="I27" s="1" t="s">
        <v>29</v>
      </c>
      <c r="J27" s="1" t="s">
        <v>31</v>
      </c>
      <c r="K27" s="1"/>
      <c r="L27" s="1"/>
      <c r="M27" s="1"/>
      <c r="N27" s="1"/>
      <c r="O27" s="1"/>
      <c r="P27" s="1"/>
      <c r="Q27" s="1"/>
      <c r="R27" s="1"/>
    </row>
    <row r="28" spans="1:18" x14ac:dyDescent="0.3">
      <c r="A28" s="1" t="s">
        <v>25</v>
      </c>
      <c r="B28" s="1"/>
      <c r="C28" s="1"/>
      <c r="D28" s="1"/>
      <c r="E28" s="1"/>
      <c r="F28" s="1"/>
      <c r="G28" s="1"/>
      <c r="H28" s="1" t="s">
        <v>23</v>
      </c>
      <c r="I28" s="1" t="s">
        <v>40</v>
      </c>
      <c r="J28" s="1" t="s">
        <v>46</v>
      </c>
      <c r="K28" s="1" t="s">
        <v>190</v>
      </c>
      <c r="L28" s="1"/>
      <c r="M28" s="1"/>
      <c r="N28" s="1"/>
      <c r="O28" s="1"/>
      <c r="P28" s="1"/>
      <c r="Q28" s="1"/>
      <c r="R28" s="1"/>
    </row>
    <row r="29" spans="1:18" x14ac:dyDescent="0.3">
      <c r="A29" s="1" t="s">
        <v>26</v>
      </c>
      <c r="B29" s="1" t="s">
        <v>65</v>
      </c>
      <c r="C29" s="1" t="s">
        <v>65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spans="1:18" x14ac:dyDescent="0.3">
      <c r="A30" s="1" t="s">
        <v>26</v>
      </c>
      <c r="B30" s="1" t="s">
        <v>66</v>
      </c>
      <c r="C30" s="1" t="s">
        <v>66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spans="1:18" x14ac:dyDescent="0.3">
      <c r="A31" s="1" t="s">
        <v>26</v>
      </c>
      <c r="B31" s="1" t="s">
        <v>67</v>
      </c>
      <c r="C31" s="1" t="s">
        <v>67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spans="1:18" x14ac:dyDescent="0.3">
      <c r="A32" s="1" t="s">
        <v>26</v>
      </c>
      <c r="B32" s="1" t="s">
        <v>68</v>
      </c>
      <c r="C32" s="1" t="s">
        <v>104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spans="1:18" x14ac:dyDescent="0.3">
      <c r="A33" s="1" t="s">
        <v>26</v>
      </c>
      <c r="B33" s="1" t="s">
        <v>69</v>
      </c>
      <c r="C33" s="1" t="s">
        <v>69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spans="1:18" x14ac:dyDescent="0.3">
      <c r="A34" s="1" t="s">
        <v>26</v>
      </c>
      <c r="B34" s="1" t="s">
        <v>64</v>
      </c>
      <c r="C34" s="1" t="s">
        <v>106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spans="1:18" x14ac:dyDescent="0.3">
      <c r="A35" s="1" t="s">
        <v>27</v>
      </c>
      <c r="B35" s="1"/>
      <c r="C35" s="1"/>
      <c r="D35" s="1"/>
      <c r="E35" s="1"/>
      <c r="F35" s="1"/>
      <c r="G35" s="1"/>
      <c r="H35" s="1" t="s">
        <v>26</v>
      </c>
      <c r="I35" s="1" t="s">
        <v>171</v>
      </c>
      <c r="J35" s="1" t="s">
        <v>171</v>
      </c>
      <c r="K35" s="1"/>
      <c r="L35" s="1"/>
      <c r="M35" s="1"/>
      <c r="N35" s="1"/>
      <c r="O35" s="1"/>
      <c r="P35" s="1"/>
      <c r="Q35" s="1"/>
      <c r="R35" s="1"/>
    </row>
    <row r="36" spans="1:18" x14ac:dyDescent="0.3">
      <c r="A36" s="1" t="s">
        <v>27</v>
      </c>
      <c r="B36" s="1"/>
      <c r="C36" s="1"/>
      <c r="D36" s="1"/>
      <c r="E36" s="1"/>
      <c r="F36" s="1"/>
      <c r="G36" s="1"/>
      <c r="H36" s="1" t="s">
        <v>26</v>
      </c>
      <c r="I36" s="1" t="s">
        <v>56</v>
      </c>
      <c r="J36" s="1" t="s">
        <v>56</v>
      </c>
      <c r="K36" s="1"/>
      <c r="L36" s="1"/>
      <c r="M36" s="1"/>
      <c r="N36" s="1"/>
      <c r="O36" s="1"/>
      <c r="P36" s="1"/>
      <c r="Q36" s="1"/>
      <c r="R36" s="1"/>
    </row>
    <row r="37" spans="1:18" x14ac:dyDescent="0.3">
      <c r="A37" s="1" t="s">
        <v>28</v>
      </c>
      <c r="B37" s="1"/>
      <c r="C37" s="1"/>
      <c r="D37" s="1"/>
      <c r="E37" s="1"/>
      <c r="F37" s="1"/>
      <c r="G37" s="1"/>
      <c r="H37" s="1" t="s">
        <v>26</v>
      </c>
      <c r="I37" s="1" t="s">
        <v>171</v>
      </c>
      <c r="J37" s="1" t="s">
        <v>171</v>
      </c>
      <c r="K37" s="1"/>
      <c r="L37" s="1"/>
      <c r="M37" s="1"/>
      <c r="N37" s="1"/>
      <c r="O37" s="1"/>
      <c r="P37" s="1"/>
      <c r="Q37" s="1"/>
      <c r="R37" s="1"/>
    </row>
    <row r="38" spans="1:18" x14ac:dyDescent="0.3">
      <c r="A38" s="1" t="s">
        <v>28</v>
      </c>
      <c r="B38" s="1"/>
      <c r="C38" s="1"/>
      <c r="D38" s="1"/>
      <c r="E38" s="1"/>
      <c r="F38" s="1"/>
      <c r="G38" s="1"/>
      <c r="H38" s="1" t="s">
        <v>26</v>
      </c>
      <c r="I38" s="1" t="s">
        <v>172</v>
      </c>
      <c r="J38" s="1" t="s">
        <v>172</v>
      </c>
      <c r="K38" s="1"/>
      <c r="L38" s="1"/>
      <c r="M38" s="1"/>
      <c r="N38" s="1"/>
      <c r="O38" s="1"/>
      <c r="P38" s="1"/>
      <c r="Q38" s="1"/>
      <c r="R38" s="1"/>
    </row>
    <row r="39" spans="1:18" x14ac:dyDescent="0.3">
      <c r="A39" s="1" t="s">
        <v>28</v>
      </c>
      <c r="B39" s="1"/>
      <c r="C39" s="1"/>
      <c r="D39" s="1"/>
      <c r="E39" s="1"/>
      <c r="F39" s="1"/>
      <c r="G39" s="1"/>
      <c r="H39" s="1" t="s">
        <v>26</v>
      </c>
      <c r="I39" s="1" t="s">
        <v>173</v>
      </c>
      <c r="J39" s="1" t="s">
        <v>173</v>
      </c>
      <c r="K39" s="1"/>
      <c r="L39" s="1"/>
      <c r="M39" s="1"/>
      <c r="N39" s="1"/>
      <c r="O39" s="1"/>
      <c r="P39" s="1"/>
      <c r="Q39" s="1"/>
      <c r="R39" s="1"/>
    </row>
    <row r="40" spans="1:18" x14ac:dyDescent="0.3">
      <c r="A40" s="1" t="s">
        <v>28</v>
      </c>
      <c r="B40" s="1"/>
      <c r="C40" s="1"/>
      <c r="D40" s="1"/>
      <c r="E40" s="1"/>
      <c r="F40" s="1"/>
      <c r="G40" s="1"/>
      <c r="H40" s="1" t="s">
        <v>26</v>
      </c>
      <c r="I40" s="1" t="s">
        <v>56</v>
      </c>
      <c r="J40" s="1" t="s">
        <v>56</v>
      </c>
      <c r="K40" s="1"/>
      <c r="L40" s="1"/>
      <c r="M40" s="1"/>
      <c r="N40" s="1"/>
      <c r="O40" s="1"/>
      <c r="P40" s="1"/>
      <c r="Q40" s="1"/>
      <c r="R40" s="1"/>
    </row>
    <row r="41" spans="1:18" x14ac:dyDescent="0.3">
      <c r="A41" s="1" t="s">
        <v>29</v>
      </c>
      <c r="B41" s="1" t="s">
        <v>70</v>
      </c>
      <c r="C41" s="1" t="s">
        <v>70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spans="1:18" x14ac:dyDescent="0.3">
      <c r="A42" s="1" t="s">
        <v>29</v>
      </c>
      <c r="B42" s="1" t="s">
        <v>71</v>
      </c>
      <c r="C42" s="1" t="s">
        <v>104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spans="1:18" x14ac:dyDescent="0.3">
      <c r="A43" s="1" t="s">
        <v>29</v>
      </c>
      <c r="B43" s="1" t="s">
        <v>72</v>
      </c>
      <c r="C43" s="1" t="s">
        <v>72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spans="1:18" x14ac:dyDescent="0.3">
      <c r="A44" s="1" t="s">
        <v>29</v>
      </c>
      <c r="B44" s="1" t="s">
        <v>64</v>
      </c>
      <c r="C44" s="1" t="s">
        <v>107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spans="1:18" x14ac:dyDescent="0.3">
      <c r="A45" s="1" t="s">
        <v>29</v>
      </c>
      <c r="B45" s="1" t="s">
        <v>59</v>
      </c>
      <c r="C45" s="1" t="s">
        <v>59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spans="1:18" x14ac:dyDescent="0.3">
      <c r="A46" s="1" t="s">
        <v>30</v>
      </c>
      <c r="B46" s="1"/>
      <c r="C46" s="1"/>
      <c r="D46" s="1"/>
      <c r="E46" s="1"/>
      <c r="F46" s="1"/>
      <c r="G46" s="1"/>
      <c r="H46" s="1" t="s">
        <v>29</v>
      </c>
      <c r="I46" s="1" t="s">
        <v>1</v>
      </c>
      <c r="J46" s="1" t="s">
        <v>182</v>
      </c>
      <c r="K46" s="1"/>
      <c r="L46" s="1"/>
      <c r="M46" s="1"/>
      <c r="N46" s="1"/>
      <c r="O46" s="1"/>
      <c r="P46" s="1"/>
      <c r="Q46" s="1"/>
      <c r="R46" s="1"/>
    </row>
    <row r="47" spans="1:18" x14ac:dyDescent="0.3">
      <c r="A47" s="1" t="s">
        <v>30</v>
      </c>
      <c r="B47" s="1"/>
      <c r="C47" s="1"/>
      <c r="D47" s="1"/>
      <c r="E47" s="1"/>
      <c r="F47" s="1"/>
      <c r="G47" s="1"/>
      <c r="H47" s="1" t="s">
        <v>29</v>
      </c>
      <c r="I47" s="1" t="s">
        <v>32</v>
      </c>
      <c r="J47" s="1" t="s">
        <v>33</v>
      </c>
      <c r="K47" s="1"/>
      <c r="L47" s="1"/>
      <c r="M47" s="1"/>
      <c r="N47" s="1"/>
      <c r="O47" s="1"/>
      <c r="P47" s="1"/>
      <c r="Q47" s="1"/>
      <c r="R47" s="1"/>
    </row>
    <row r="48" spans="1:18" x14ac:dyDescent="0.3">
      <c r="A48" s="1" t="s">
        <v>30</v>
      </c>
      <c r="B48" s="1"/>
      <c r="C48" s="1"/>
      <c r="D48" s="1"/>
      <c r="E48" s="1"/>
      <c r="F48" s="1"/>
      <c r="G48" s="1"/>
      <c r="H48" s="1" t="s">
        <v>29</v>
      </c>
      <c r="I48" s="1" t="s">
        <v>56</v>
      </c>
      <c r="J48" s="1" t="s">
        <v>56</v>
      </c>
      <c r="K48" s="1"/>
      <c r="L48" s="1"/>
      <c r="M48" s="1"/>
      <c r="N48" s="1"/>
      <c r="O48" s="1"/>
      <c r="P48" s="1"/>
      <c r="Q48" s="1"/>
      <c r="R48" s="1"/>
    </row>
    <row r="49" spans="1:18" x14ac:dyDescent="0.3">
      <c r="A49" s="1" t="s">
        <v>31</v>
      </c>
      <c r="B49" s="1"/>
      <c r="C49" s="1"/>
      <c r="D49" s="1"/>
      <c r="E49" s="1"/>
      <c r="F49" s="1"/>
      <c r="G49" s="1"/>
      <c r="H49" s="1" t="s">
        <v>29</v>
      </c>
      <c r="I49" s="1" t="s">
        <v>1</v>
      </c>
      <c r="J49" s="1" t="s">
        <v>182</v>
      </c>
      <c r="K49" s="1"/>
      <c r="L49" s="1"/>
      <c r="M49" s="1"/>
      <c r="N49" s="1"/>
      <c r="O49" s="1"/>
      <c r="P49" s="1"/>
      <c r="Q49" s="1"/>
      <c r="R49" s="1"/>
    </row>
    <row r="50" spans="1:18" x14ac:dyDescent="0.3">
      <c r="A50" s="1" t="s">
        <v>31</v>
      </c>
      <c r="B50" s="1"/>
      <c r="C50" s="1"/>
      <c r="D50" s="1"/>
      <c r="E50" s="1"/>
      <c r="F50" s="1"/>
      <c r="G50" s="1"/>
      <c r="H50" s="1" t="s">
        <v>29</v>
      </c>
      <c r="I50" s="1" t="s">
        <v>32</v>
      </c>
      <c r="J50" s="1" t="s">
        <v>34</v>
      </c>
      <c r="K50" s="1"/>
      <c r="L50" s="1"/>
      <c r="M50" s="1"/>
      <c r="N50" s="1"/>
      <c r="O50" s="1"/>
      <c r="P50" s="1"/>
      <c r="Q50" s="1"/>
      <c r="R50" s="1"/>
    </row>
    <row r="51" spans="1:18" x14ac:dyDescent="0.3">
      <c r="A51" s="1" t="s">
        <v>31</v>
      </c>
      <c r="B51" s="1"/>
      <c r="C51" s="1"/>
      <c r="D51" s="1"/>
      <c r="E51" s="1"/>
      <c r="F51" s="1"/>
      <c r="G51" s="1"/>
      <c r="H51" s="1" t="s">
        <v>29</v>
      </c>
      <c r="I51" s="1" t="s">
        <v>40</v>
      </c>
      <c r="J51" s="1" t="s">
        <v>43</v>
      </c>
      <c r="K51" s="1"/>
      <c r="L51" s="1"/>
      <c r="M51" s="1"/>
      <c r="N51" s="1"/>
      <c r="O51" s="1"/>
      <c r="P51" s="1"/>
      <c r="Q51" s="1"/>
      <c r="R51" s="1"/>
    </row>
    <row r="52" spans="1:18" x14ac:dyDescent="0.3">
      <c r="A52" s="1" t="s">
        <v>31</v>
      </c>
      <c r="B52" s="1"/>
      <c r="C52" s="1"/>
      <c r="D52" s="1"/>
      <c r="E52" s="1"/>
      <c r="F52" s="1"/>
      <c r="G52" s="1"/>
      <c r="H52" s="1" t="s">
        <v>29</v>
      </c>
      <c r="I52" s="1" t="s">
        <v>56</v>
      </c>
      <c r="J52" s="1" t="s">
        <v>56</v>
      </c>
      <c r="K52" s="1"/>
      <c r="L52" s="1"/>
      <c r="M52" s="1"/>
      <c r="N52" s="1"/>
      <c r="O52" s="1"/>
      <c r="P52" s="1"/>
      <c r="Q52" s="1"/>
      <c r="R52" s="1"/>
    </row>
    <row r="53" spans="1:18" x14ac:dyDescent="0.3">
      <c r="A53" s="1" t="s">
        <v>32</v>
      </c>
      <c r="B53" s="1" t="s">
        <v>73</v>
      </c>
      <c r="C53" s="1" t="s">
        <v>108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spans="1:18" x14ac:dyDescent="0.3">
      <c r="A54" s="1" t="s">
        <v>32</v>
      </c>
      <c r="B54" s="1" t="s">
        <v>74</v>
      </c>
      <c r="C54" s="1" t="s">
        <v>109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spans="1:18" x14ac:dyDescent="0.3">
      <c r="A55" s="1" t="s">
        <v>32</v>
      </c>
      <c r="B55" s="1" t="s">
        <v>75</v>
      </c>
      <c r="C55" s="1" t="s">
        <v>110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spans="1:18" x14ac:dyDescent="0.3">
      <c r="A56" s="1" t="s">
        <v>32</v>
      </c>
      <c r="B56" s="1" t="s">
        <v>76</v>
      </c>
      <c r="C56" s="1" t="s">
        <v>111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</row>
    <row r="57" spans="1:18" x14ac:dyDescent="0.3">
      <c r="A57" s="1" t="s">
        <v>32</v>
      </c>
      <c r="B57" s="1" t="s">
        <v>77</v>
      </c>
      <c r="C57" s="1" t="s">
        <v>112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</row>
    <row r="58" spans="1:18" x14ac:dyDescent="0.3">
      <c r="A58" s="1" t="s">
        <v>32</v>
      </c>
      <c r="B58" s="1" t="s">
        <v>78</v>
      </c>
      <c r="C58" s="1" t="s">
        <v>113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</row>
    <row r="59" spans="1:18" x14ac:dyDescent="0.3">
      <c r="A59" s="1" t="s">
        <v>32</v>
      </c>
      <c r="B59" s="1" t="s">
        <v>59</v>
      </c>
      <c r="C59" s="1" t="s">
        <v>59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</row>
    <row r="60" spans="1:18" x14ac:dyDescent="0.3">
      <c r="A60" s="1" t="s">
        <v>32</v>
      </c>
      <c r="B60" s="1"/>
      <c r="C60" s="1"/>
      <c r="D60" s="1"/>
      <c r="E60" s="1"/>
      <c r="F60" s="1" t="s">
        <v>153</v>
      </c>
      <c r="G60" s="1" t="s">
        <v>156</v>
      </c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</row>
    <row r="61" spans="1:18" x14ac:dyDescent="0.3">
      <c r="A61" s="1" t="s">
        <v>33</v>
      </c>
      <c r="B61" s="1"/>
      <c r="C61" s="1"/>
      <c r="D61" s="1"/>
      <c r="E61" s="1"/>
      <c r="F61" s="1"/>
      <c r="G61" s="1"/>
      <c r="H61" s="1" t="s">
        <v>32</v>
      </c>
      <c r="I61" s="1" t="s">
        <v>174</v>
      </c>
      <c r="J61" s="1" t="s">
        <v>174</v>
      </c>
      <c r="K61" s="1"/>
      <c r="L61" s="1" t="s">
        <v>154</v>
      </c>
      <c r="M61" s="1" t="s">
        <v>200</v>
      </c>
      <c r="N61" s="1"/>
      <c r="O61" s="1"/>
      <c r="P61" s="1"/>
      <c r="Q61" s="1"/>
      <c r="R61" s="1"/>
    </row>
    <row r="62" spans="1:18" x14ac:dyDescent="0.3">
      <c r="A62" s="1" t="s">
        <v>33</v>
      </c>
      <c r="B62" s="1"/>
      <c r="C62" s="1"/>
      <c r="D62" s="1"/>
      <c r="E62" s="1"/>
      <c r="F62" s="1"/>
      <c r="G62" s="1"/>
      <c r="H62" s="1" t="s">
        <v>32</v>
      </c>
      <c r="I62" s="1" t="s">
        <v>80</v>
      </c>
      <c r="J62" s="1" t="s">
        <v>183</v>
      </c>
      <c r="K62" s="1"/>
      <c r="L62" s="1" t="s">
        <v>154</v>
      </c>
      <c r="M62" s="1" t="s">
        <v>200</v>
      </c>
      <c r="N62" s="1"/>
      <c r="O62" s="1"/>
      <c r="P62" s="1"/>
      <c r="Q62" s="1"/>
      <c r="R62" s="1"/>
    </row>
    <row r="63" spans="1:18" x14ac:dyDescent="0.3">
      <c r="A63" s="1" t="s">
        <v>33</v>
      </c>
      <c r="B63" s="1"/>
      <c r="C63" s="1"/>
      <c r="D63" s="1"/>
      <c r="E63" s="1"/>
      <c r="F63" s="1"/>
      <c r="G63" s="1"/>
      <c r="H63" s="1" t="s">
        <v>32</v>
      </c>
      <c r="I63" s="1" t="s">
        <v>169</v>
      </c>
      <c r="J63" s="1" t="s">
        <v>184</v>
      </c>
      <c r="K63" s="1"/>
      <c r="L63" s="1" t="s">
        <v>154</v>
      </c>
      <c r="M63" s="1" t="s">
        <v>200</v>
      </c>
      <c r="N63" s="1"/>
      <c r="O63" s="1"/>
      <c r="P63" s="1"/>
      <c r="Q63" s="1"/>
      <c r="R63" s="1"/>
    </row>
    <row r="64" spans="1:18" x14ac:dyDescent="0.3">
      <c r="A64" s="1" t="s">
        <v>33</v>
      </c>
      <c r="B64" s="1"/>
      <c r="C64" s="1"/>
      <c r="D64" s="1"/>
      <c r="E64" s="1"/>
      <c r="F64" s="1"/>
      <c r="G64" s="1"/>
      <c r="H64" s="1" t="s">
        <v>32</v>
      </c>
      <c r="I64" s="1" t="s">
        <v>170</v>
      </c>
      <c r="J64" s="1" t="s">
        <v>185</v>
      </c>
      <c r="K64" s="1"/>
      <c r="L64" s="1" t="s">
        <v>154</v>
      </c>
      <c r="M64" s="1" t="s">
        <v>200</v>
      </c>
      <c r="N64" s="1"/>
      <c r="O64" s="1"/>
      <c r="P64" s="1"/>
      <c r="Q64" s="1"/>
      <c r="R64" s="1"/>
    </row>
    <row r="65" spans="1:18" x14ac:dyDescent="0.3">
      <c r="A65" s="1" t="s">
        <v>33</v>
      </c>
      <c r="B65" s="1"/>
      <c r="C65" s="1"/>
      <c r="D65" s="1"/>
      <c r="E65" s="1"/>
      <c r="F65" s="1"/>
      <c r="G65" s="1"/>
      <c r="H65" s="1" t="s">
        <v>32</v>
      </c>
      <c r="I65" s="1" t="s">
        <v>175</v>
      </c>
      <c r="J65" s="1" t="s">
        <v>186</v>
      </c>
      <c r="K65" s="1"/>
      <c r="L65" s="1" t="s">
        <v>154</v>
      </c>
      <c r="M65" s="1" t="s">
        <v>200</v>
      </c>
      <c r="N65" s="1"/>
      <c r="O65" s="1"/>
      <c r="P65" s="1"/>
      <c r="Q65" s="1"/>
      <c r="R65" s="1"/>
    </row>
    <row r="66" spans="1:18" x14ac:dyDescent="0.3">
      <c r="A66" s="1" t="s">
        <v>33</v>
      </c>
      <c r="B66" s="1"/>
      <c r="C66" s="1"/>
      <c r="D66" s="1"/>
      <c r="E66" s="1"/>
      <c r="F66" s="1"/>
      <c r="G66" s="1"/>
      <c r="H66" s="1" t="s">
        <v>32</v>
      </c>
      <c r="I66" s="1" t="s">
        <v>32</v>
      </c>
      <c r="J66" s="1" t="s">
        <v>33</v>
      </c>
      <c r="K66" s="1"/>
      <c r="L66" s="1" t="s">
        <v>154</v>
      </c>
      <c r="M66" s="1" t="s">
        <v>200</v>
      </c>
      <c r="N66" s="1"/>
      <c r="O66" s="1"/>
      <c r="P66" s="1"/>
      <c r="Q66" s="1"/>
      <c r="R66" s="1"/>
    </row>
    <row r="67" spans="1:18" x14ac:dyDescent="0.3">
      <c r="A67" s="1" t="s">
        <v>33</v>
      </c>
      <c r="B67" s="1"/>
      <c r="C67" s="1"/>
      <c r="D67" s="1"/>
      <c r="E67" s="1"/>
      <c r="F67" s="1"/>
      <c r="G67" s="1"/>
      <c r="H67" s="1" t="s">
        <v>32</v>
      </c>
      <c r="I67" s="1" t="s">
        <v>35</v>
      </c>
      <c r="J67" s="1" t="s">
        <v>36</v>
      </c>
      <c r="K67" s="1"/>
      <c r="L67" s="1" t="s">
        <v>154</v>
      </c>
      <c r="M67" s="1" t="s">
        <v>200</v>
      </c>
      <c r="N67" s="1"/>
      <c r="O67" s="1"/>
      <c r="P67" s="1"/>
      <c r="Q67" s="1"/>
      <c r="R67" s="1"/>
    </row>
    <row r="68" spans="1:18" x14ac:dyDescent="0.3">
      <c r="A68" s="1" t="s">
        <v>33</v>
      </c>
      <c r="B68" s="1"/>
      <c r="C68" s="1"/>
      <c r="D68" s="1"/>
      <c r="E68" s="1"/>
      <c r="F68" s="1"/>
      <c r="G68" s="1"/>
      <c r="H68" s="1" t="s">
        <v>32</v>
      </c>
      <c r="I68" s="1" t="s">
        <v>40</v>
      </c>
      <c r="J68" s="1" t="s">
        <v>41</v>
      </c>
      <c r="K68" s="1"/>
      <c r="L68" s="1" t="s">
        <v>154</v>
      </c>
      <c r="M68" s="1" t="s">
        <v>200</v>
      </c>
      <c r="N68" s="1"/>
      <c r="O68" s="1"/>
      <c r="P68" s="1"/>
      <c r="Q68" s="1"/>
      <c r="R68" s="1"/>
    </row>
    <row r="69" spans="1:18" x14ac:dyDescent="0.3">
      <c r="A69" s="1" t="s">
        <v>33</v>
      </c>
      <c r="B69" s="1"/>
      <c r="C69" s="1"/>
      <c r="D69" s="1"/>
      <c r="E69" s="1"/>
      <c r="F69" s="1"/>
      <c r="G69" s="1"/>
      <c r="H69" s="1" t="s">
        <v>32</v>
      </c>
      <c r="I69" s="1" t="s">
        <v>56</v>
      </c>
      <c r="J69" s="1" t="s">
        <v>56</v>
      </c>
      <c r="K69" s="1"/>
      <c r="L69" s="1" t="s">
        <v>154</v>
      </c>
      <c r="M69" s="1" t="s">
        <v>200</v>
      </c>
      <c r="N69" s="1"/>
      <c r="O69" s="1"/>
      <c r="P69" s="1"/>
      <c r="Q69" s="1"/>
      <c r="R69" s="1"/>
    </row>
    <row r="70" spans="1:18" x14ac:dyDescent="0.3">
      <c r="A70" s="1" t="s">
        <v>34</v>
      </c>
      <c r="B70" s="1"/>
      <c r="C70" s="1"/>
      <c r="D70" s="1"/>
      <c r="E70" s="1"/>
      <c r="F70" s="1"/>
      <c r="G70" s="1"/>
      <c r="H70" s="1" t="s">
        <v>32</v>
      </c>
      <c r="I70" s="1" t="s">
        <v>174</v>
      </c>
      <c r="J70" s="1" t="s">
        <v>174</v>
      </c>
      <c r="K70" s="1"/>
      <c r="L70" s="1" t="s">
        <v>154</v>
      </c>
      <c r="M70" s="1" t="s">
        <v>200</v>
      </c>
      <c r="N70" s="1"/>
      <c r="O70" s="1"/>
      <c r="P70" s="1"/>
      <c r="Q70" s="1"/>
      <c r="R70" s="1"/>
    </row>
    <row r="71" spans="1:18" x14ac:dyDescent="0.3">
      <c r="A71" s="1" t="s">
        <v>34</v>
      </c>
      <c r="B71" s="1"/>
      <c r="C71" s="1"/>
      <c r="D71" s="1"/>
      <c r="E71" s="1"/>
      <c r="F71" s="1"/>
      <c r="G71" s="1"/>
      <c r="H71" s="1" t="s">
        <v>32</v>
      </c>
      <c r="I71" s="1" t="s">
        <v>80</v>
      </c>
      <c r="J71" s="1" t="s">
        <v>183</v>
      </c>
      <c r="K71" s="1"/>
      <c r="L71" s="1" t="s">
        <v>154</v>
      </c>
      <c r="M71" s="1" t="s">
        <v>200</v>
      </c>
      <c r="N71" s="1"/>
      <c r="O71" s="1"/>
      <c r="P71" s="1"/>
      <c r="Q71" s="1"/>
      <c r="R71" s="1"/>
    </row>
    <row r="72" spans="1:18" x14ac:dyDescent="0.3">
      <c r="A72" s="1" t="s">
        <v>34</v>
      </c>
      <c r="B72" s="1"/>
      <c r="C72" s="1"/>
      <c r="D72" s="1"/>
      <c r="E72" s="1"/>
      <c r="F72" s="1"/>
      <c r="G72" s="1"/>
      <c r="H72" s="1" t="s">
        <v>32</v>
      </c>
      <c r="I72" s="1" t="s">
        <v>169</v>
      </c>
      <c r="J72" s="1" t="s">
        <v>184</v>
      </c>
      <c r="K72" s="1"/>
      <c r="L72" s="1" t="s">
        <v>154</v>
      </c>
      <c r="M72" s="1" t="s">
        <v>200</v>
      </c>
      <c r="N72" s="1"/>
      <c r="O72" s="1"/>
      <c r="P72" s="1"/>
      <c r="Q72" s="1"/>
      <c r="R72" s="1"/>
    </row>
    <row r="73" spans="1:18" x14ac:dyDescent="0.3">
      <c r="A73" s="1" t="s">
        <v>34</v>
      </c>
      <c r="B73" s="1"/>
      <c r="C73" s="1"/>
      <c r="D73" s="1"/>
      <c r="E73" s="1"/>
      <c r="F73" s="1"/>
      <c r="G73" s="1"/>
      <c r="H73" s="1" t="s">
        <v>32</v>
      </c>
      <c r="I73" s="1" t="s">
        <v>170</v>
      </c>
      <c r="J73" s="1" t="s">
        <v>185</v>
      </c>
      <c r="K73" s="1"/>
      <c r="L73" s="1" t="s">
        <v>154</v>
      </c>
      <c r="M73" s="1" t="s">
        <v>200</v>
      </c>
      <c r="N73" s="1"/>
      <c r="O73" s="1"/>
      <c r="P73" s="1"/>
      <c r="Q73" s="1"/>
      <c r="R73" s="1"/>
    </row>
    <row r="74" spans="1:18" x14ac:dyDescent="0.3">
      <c r="A74" s="1" t="s">
        <v>34</v>
      </c>
      <c r="B74" s="1"/>
      <c r="C74" s="1"/>
      <c r="D74" s="1"/>
      <c r="E74" s="1"/>
      <c r="F74" s="1"/>
      <c r="G74" s="1"/>
      <c r="H74" s="1" t="s">
        <v>32</v>
      </c>
      <c r="I74" s="1" t="s">
        <v>175</v>
      </c>
      <c r="J74" s="1" t="s">
        <v>186</v>
      </c>
      <c r="K74" s="1"/>
      <c r="L74" s="1" t="s">
        <v>154</v>
      </c>
      <c r="M74" s="1" t="s">
        <v>200</v>
      </c>
      <c r="N74" s="1"/>
      <c r="O74" s="1"/>
      <c r="P74" s="1"/>
      <c r="Q74" s="1"/>
      <c r="R74" s="1"/>
    </row>
    <row r="75" spans="1:18" x14ac:dyDescent="0.3">
      <c r="A75" s="1" t="s">
        <v>34</v>
      </c>
      <c r="B75" s="1"/>
      <c r="C75" s="1"/>
      <c r="D75" s="1"/>
      <c r="E75" s="1"/>
      <c r="F75" s="1"/>
      <c r="G75" s="1"/>
      <c r="H75" s="1" t="s">
        <v>32</v>
      </c>
      <c r="I75" s="1" t="s">
        <v>32</v>
      </c>
      <c r="J75" s="1" t="s">
        <v>34</v>
      </c>
      <c r="K75" s="1"/>
      <c r="L75" s="1" t="s">
        <v>154</v>
      </c>
      <c r="M75" s="1" t="s">
        <v>200</v>
      </c>
      <c r="N75" s="1"/>
      <c r="O75" s="1"/>
      <c r="P75" s="1"/>
      <c r="Q75" s="1"/>
      <c r="R75" s="1"/>
    </row>
    <row r="76" spans="1:18" x14ac:dyDescent="0.3">
      <c r="A76" s="1" t="s">
        <v>34</v>
      </c>
      <c r="B76" s="1"/>
      <c r="C76" s="1"/>
      <c r="D76" s="1"/>
      <c r="E76" s="1"/>
      <c r="F76" s="1"/>
      <c r="G76" s="1"/>
      <c r="H76" s="1" t="s">
        <v>32</v>
      </c>
      <c r="I76" s="1" t="s">
        <v>35</v>
      </c>
      <c r="J76" s="1" t="s">
        <v>37</v>
      </c>
      <c r="K76" s="1" t="s">
        <v>191</v>
      </c>
      <c r="L76" s="1" t="s">
        <v>154</v>
      </c>
      <c r="M76" s="1" t="s">
        <v>200</v>
      </c>
      <c r="N76" s="1"/>
      <c r="O76" s="1"/>
      <c r="P76" s="1"/>
      <c r="Q76" s="1"/>
      <c r="R76" s="1"/>
    </row>
    <row r="77" spans="1:18" x14ac:dyDescent="0.3">
      <c r="A77" s="1" t="s">
        <v>34</v>
      </c>
      <c r="B77" s="1"/>
      <c r="C77" s="1"/>
      <c r="D77" s="1"/>
      <c r="E77" s="1"/>
      <c r="F77" s="1"/>
      <c r="G77" s="1"/>
      <c r="H77" s="1" t="s">
        <v>32</v>
      </c>
      <c r="I77" s="1" t="s">
        <v>40</v>
      </c>
      <c r="J77" s="1" t="s">
        <v>44</v>
      </c>
      <c r="K77" s="1" t="s">
        <v>192</v>
      </c>
      <c r="L77" s="1" t="s">
        <v>154</v>
      </c>
      <c r="M77" s="1" t="s">
        <v>200</v>
      </c>
      <c r="N77" s="1"/>
      <c r="O77" s="1"/>
      <c r="P77" s="1"/>
      <c r="Q77" s="1"/>
      <c r="R77" s="1"/>
    </row>
    <row r="78" spans="1:18" x14ac:dyDescent="0.3">
      <c r="A78" s="1" t="s">
        <v>34</v>
      </c>
      <c r="B78" s="1"/>
      <c r="C78" s="1"/>
      <c r="D78" s="1"/>
      <c r="E78" s="1"/>
      <c r="F78" s="1"/>
      <c r="G78" s="1"/>
      <c r="H78" s="1" t="s">
        <v>32</v>
      </c>
      <c r="I78" s="1" t="s">
        <v>56</v>
      </c>
      <c r="J78" s="1" t="s">
        <v>56</v>
      </c>
      <c r="K78" s="1"/>
      <c r="L78" s="1" t="s">
        <v>154</v>
      </c>
      <c r="M78" s="1" t="s">
        <v>200</v>
      </c>
      <c r="N78" s="1"/>
      <c r="O78" s="1"/>
      <c r="P78" s="1"/>
      <c r="Q78" s="1"/>
      <c r="R78" s="1"/>
    </row>
    <row r="79" spans="1:18" x14ac:dyDescent="0.3">
      <c r="A79" s="1" t="s">
        <v>35</v>
      </c>
      <c r="B79" s="1" t="s">
        <v>79</v>
      </c>
      <c r="C79" s="1" t="s">
        <v>79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spans="1:18" x14ac:dyDescent="0.3">
      <c r="A80" s="1" t="s">
        <v>35</v>
      </c>
      <c r="B80" s="1" t="s">
        <v>80</v>
      </c>
      <c r="C80" s="1" t="s">
        <v>114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</row>
    <row r="81" spans="1:18" x14ac:dyDescent="0.3">
      <c r="A81" s="1" t="s">
        <v>35</v>
      </c>
      <c r="B81" s="1" t="s">
        <v>81</v>
      </c>
      <c r="C81" s="1" t="s">
        <v>81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spans="1:18" x14ac:dyDescent="0.3">
      <c r="A82" s="1" t="s">
        <v>35</v>
      </c>
      <c r="B82" s="1" t="s">
        <v>82</v>
      </c>
      <c r="C82" s="1" t="s">
        <v>82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</row>
    <row r="83" spans="1:18" x14ac:dyDescent="0.3">
      <c r="A83" s="1" t="s">
        <v>35</v>
      </c>
      <c r="B83" s="1" t="s">
        <v>83</v>
      </c>
      <c r="C83" s="1" t="s">
        <v>115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spans="1:18" x14ac:dyDescent="0.3">
      <c r="A84" s="1" t="s">
        <v>35</v>
      </c>
      <c r="B84" s="1" t="s">
        <v>73</v>
      </c>
      <c r="C84" s="1" t="s">
        <v>116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</row>
    <row r="85" spans="1:18" x14ac:dyDescent="0.3">
      <c r="A85" s="1" t="s">
        <v>35</v>
      </c>
      <c r="B85" s="1" t="s">
        <v>62</v>
      </c>
      <c r="C85" s="1" t="s">
        <v>104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</row>
    <row r="86" spans="1:18" x14ac:dyDescent="0.3">
      <c r="A86" s="1" t="s">
        <v>35</v>
      </c>
      <c r="B86" s="1" t="s">
        <v>84</v>
      </c>
      <c r="C86" s="1" t="s">
        <v>84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</row>
    <row r="87" spans="1:18" x14ac:dyDescent="0.3">
      <c r="A87" s="1" t="s">
        <v>35</v>
      </c>
      <c r="B87" s="1" t="s">
        <v>74</v>
      </c>
      <c r="C87" s="1" t="s">
        <v>117</v>
      </c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</row>
    <row r="88" spans="1:18" x14ac:dyDescent="0.3">
      <c r="A88" s="1" t="s">
        <v>35</v>
      </c>
      <c r="B88" s="1" t="s">
        <v>75</v>
      </c>
      <c r="C88" s="1" t="s">
        <v>118</v>
      </c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</row>
    <row r="89" spans="1:18" x14ac:dyDescent="0.3">
      <c r="A89" s="1" t="s">
        <v>35</v>
      </c>
      <c r="B89" s="1" t="s">
        <v>76</v>
      </c>
      <c r="C89" s="1" t="s">
        <v>119</v>
      </c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</row>
    <row r="90" spans="1:18" x14ac:dyDescent="0.3">
      <c r="A90" s="1" t="s">
        <v>35</v>
      </c>
      <c r="B90" s="1" t="s">
        <v>77</v>
      </c>
      <c r="C90" s="1" t="s">
        <v>120</v>
      </c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</row>
    <row r="91" spans="1:18" x14ac:dyDescent="0.3">
      <c r="A91" s="1" t="s">
        <v>35</v>
      </c>
      <c r="B91" s="1" t="s">
        <v>78</v>
      </c>
      <c r="C91" s="1" t="s">
        <v>121</v>
      </c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</row>
    <row r="92" spans="1:18" x14ac:dyDescent="0.3">
      <c r="A92" s="1" t="s">
        <v>35</v>
      </c>
      <c r="B92" s="1" t="s">
        <v>64</v>
      </c>
      <c r="C92" s="1" t="s">
        <v>122</v>
      </c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</row>
    <row r="93" spans="1:18" x14ac:dyDescent="0.3">
      <c r="A93" s="1" t="s">
        <v>35</v>
      </c>
      <c r="B93" s="1" t="s">
        <v>59</v>
      </c>
      <c r="C93" s="1" t="s">
        <v>59</v>
      </c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spans="1:18" x14ac:dyDescent="0.3">
      <c r="A94" s="1" t="s">
        <v>35</v>
      </c>
      <c r="B94" s="1"/>
      <c r="C94" s="1"/>
      <c r="D94" s="1"/>
      <c r="E94" s="1"/>
      <c r="F94" s="1" t="s">
        <v>154</v>
      </c>
      <c r="G94" s="1" t="s">
        <v>157</v>
      </c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</row>
    <row r="95" spans="1:18" x14ac:dyDescent="0.3">
      <c r="A95" s="1" t="s">
        <v>35</v>
      </c>
      <c r="B95" s="1"/>
      <c r="C95" s="1"/>
      <c r="D95" s="1"/>
      <c r="E95" s="1"/>
      <c r="F95" s="1" t="s">
        <v>153</v>
      </c>
      <c r="G95" s="1" t="s">
        <v>156</v>
      </c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</row>
    <row r="96" spans="1:18" x14ac:dyDescent="0.3">
      <c r="A96" s="1" t="s">
        <v>36</v>
      </c>
      <c r="B96" s="1"/>
      <c r="C96" s="1"/>
      <c r="D96" s="1"/>
      <c r="E96" s="1"/>
      <c r="F96" s="1"/>
      <c r="G96" s="1"/>
      <c r="H96" s="1" t="s">
        <v>35</v>
      </c>
      <c r="I96" s="1" t="s">
        <v>176</v>
      </c>
      <c r="J96" s="1" t="s">
        <v>176</v>
      </c>
      <c r="K96" s="1"/>
      <c r="L96" s="1"/>
      <c r="M96" s="1"/>
      <c r="N96" s="1"/>
      <c r="O96" s="1"/>
      <c r="P96" s="1"/>
      <c r="Q96" s="1"/>
      <c r="R96" s="1"/>
    </row>
    <row r="97" spans="1:18" x14ac:dyDescent="0.3">
      <c r="A97" s="1" t="s">
        <v>36</v>
      </c>
      <c r="B97" s="1"/>
      <c r="C97" s="1"/>
      <c r="D97" s="1"/>
      <c r="E97" s="1"/>
      <c r="F97" s="1"/>
      <c r="G97" s="1"/>
      <c r="H97" s="1" t="s">
        <v>35</v>
      </c>
      <c r="I97" s="1" t="s">
        <v>88</v>
      </c>
      <c r="J97" s="1" t="s">
        <v>129</v>
      </c>
      <c r="K97" s="1"/>
      <c r="L97" s="1"/>
      <c r="M97" s="1"/>
      <c r="N97" s="1"/>
      <c r="O97" s="1"/>
      <c r="P97" s="1"/>
      <c r="Q97" s="1"/>
      <c r="R97" s="1"/>
    </row>
    <row r="98" spans="1:18" x14ac:dyDescent="0.3">
      <c r="A98" s="1" t="s">
        <v>36</v>
      </c>
      <c r="B98" s="1"/>
      <c r="C98" s="1"/>
      <c r="D98" s="1"/>
      <c r="E98" s="1"/>
      <c r="F98" s="1"/>
      <c r="G98" s="1"/>
      <c r="H98" s="1" t="s">
        <v>35</v>
      </c>
      <c r="I98" s="1" t="s">
        <v>145</v>
      </c>
      <c r="J98" s="1" t="s">
        <v>129</v>
      </c>
      <c r="K98" s="1"/>
      <c r="L98" s="1"/>
      <c r="M98" s="1"/>
      <c r="N98" s="1"/>
      <c r="O98" s="1"/>
      <c r="P98" s="1"/>
      <c r="Q98" s="1"/>
      <c r="R98" s="1"/>
    </row>
    <row r="99" spans="1:18" x14ac:dyDescent="0.3">
      <c r="A99" s="1" t="s">
        <v>36</v>
      </c>
      <c r="B99" s="1"/>
      <c r="C99" s="1"/>
      <c r="D99" s="1"/>
      <c r="E99" s="1"/>
      <c r="F99" s="1"/>
      <c r="G99" s="1"/>
      <c r="H99" s="1" t="s">
        <v>35</v>
      </c>
      <c r="I99" s="1" t="s">
        <v>177</v>
      </c>
      <c r="J99" s="1" t="s">
        <v>38</v>
      </c>
      <c r="K99" s="1"/>
      <c r="L99" s="1"/>
      <c r="M99" s="1"/>
      <c r="N99" s="1"/>
      <c r="O99" s="1"/>
      <c r="P99" s="1"/>
      <c r="Q99" s="1"/>
      <c r="R99" s="1"/>
    </row>
    <row r="100" spans="1:18" x14ac:dyDescent="0.3">
      <c r="A100" s="1" t="s">
        <v>36</v>
      </c>
      <c r="B100" s="1"/>
      <c r="C100" s="1"/>
      <c r="D100" s="1"/>
      <c r="E100" s="1"/>
      <c r="F100" s="1"/>
      <c r="G100" s="1"/>
      <c r="H100" s="1" t="s">
        <v>35</v>
      </c>
      <c r="I100" s="1" t="s">
        <v>169</v>
      </c>
      <c r="J100" s="1" t="s">
        <v>187</v>
      </c>
      <c r="K100" s="1"/>
      <c r="L100" s="1"/>
      <c r="M100" s="1"/>
      <c r="N100" s="1"/>
      <c r="O100" s="1"/>
      <c r="P100" s="1"/>
      <c r="Q100" s="1"/>
      <c r="R100" s="1"/>
    </row>
    <row r="101" spans="1:18" x14ac:dyDescent="0.3">
      <c r="A101" s="1" t="s">
        <v>36</v>
      </c>
      <c r="B101" s="1"/>
      <c r="C101" s="1"/>
      <c r="D101" s="1"/>
      <c r="E101" s="1"/>
      <c r="F101" s="1"/>
      <c r="G101" s="1"/>
      <c r="H101" s="1" t="s">
        <v>35</v>
      </c>
      <c r="I101" s="1" t="s">
        <v>170</v>
      </c>
      <c r="J101" s="1" t="s">
        <v>188</v>
      </c>
      <c r="K101" s="1"/>
      <c r="L101" s="1"/>
      <c r="M101" s="1"/>
      <c r="N101" s="1"/>
      <c r="O101" s="1"/>
      <c r="P101" s="1"/>
      <c r="Q101" s="1"/>
      <c r="R101" s="1"/>
    </row>
    <row r="102" spans="1:18" x14ac:dyDescent="0.3">
      <c r="A102" s="1" t="s">
        <v>36</v>
      </c>
      <c r="B102" s="1"/>
      <c r="C102" s="1"/>
      <c r="D102" s="1"/>
      <c r="E102" s="1"/>
      <c r="F102" s="1"/>
      <c r="G102" s="1"/>
      <c r="H102" s="1" t="s">
        <v>35</v>
      </c>
      <c r="I102" s="1" t="s">
        <v>175</v>
      </c>
      <c r="J102" s="1" t="s">
        <v>189</v>
      </c>
      <c r="K102" s="1"/>
      <c r="L102" s="1"/>
      <c r="M102" s="1"/>
      <c r="N102" s="1"/>
      <c r="O102" s="1"/>
      <c r="P102" s="1"/>
      <c r="Q102" s="1"/>
      <c r="R102" s="1"/>
    </row>
    <row r="103" spans="1:18" x14ac:dyDescent="0.3">
      <c r="A103" s="1" t="s">
        <v>36</v>
      </c>
      <c r="B103" s="1"/>
      <c r="C103" s="1"/>
      <c r="D103" s="1"/>
      <c r="E103" s="1"/>
      <c r="F103" s="1"/>
      <c r="G103" s="1"/>
      <c r="H103" s="1" t="s">
        <v>35</v>
      </c>
      <c r="I103" s="1" t="s">
        <v>35</v>
      </c>
      <c r="J103" s="1" t="s">
        <v>36</v>
      </c>
      <c r="K103" s="1"/>
      <c r="L103" s="1"/>
      <c r="M103" s="1"/>
      <c r="N103" s="1"/>
      <c r="O103" s="1"/>
      <c r="P103" s="1"/>
      <c r="Q103" s="1"/>
      <c r="R103" s="1"/>
    </row>
    <row r="104" spans="1:18" x14ac:dyDescent="0.3">
      <c r="A104" s="1" t="s">
        <v>36</v>
      </c>
      <c r="B104" s="1"/>
      <c r="C104" s="1"/>
      <c r="D104" s="1"/>
      <c r="E104" s="1"/>
      <c r="F104" s="1"/>
      <c r="G104" s="1"/>
      <c r="H104" s="1" t="s">
        <v>35</v>
      </c>
      <c r="I104" s="1" t="s">
        <v>40</v>
      </c>
      <c r="J104" s="1" t="s">
        <v>42</v>
      </c>
      <c r="K104" s="1"/>
      <c r="L104" s="1"/>
      <c r="M104" s="1"/>
      <c r="N104" s="1"/>
      <c r="O104" s="1"/>
      <c r="P104" s="1"/>
      <c r="Q104" s="1"/>
      <c r="R104" s="1"/>
    </row>
    <row r="105" spans="1:18" x14ac:dyDescent="0.3">
      <c r="A105" s="1" t="s">
        <v>36</v>
      </c>
      <c r="B105" s="1"/>
      <c r="C105" s="1"/>
      <c r="D105" s="1"/>
      <c r="E105" s="1"/>
      <c r="F105" s="1"/>
      <c r="G105" s="1"/>
      <c r="H105" s="1" t="s">
        <v>35</v>
      </c>
      <c r="I105" s="1" t="s">
        <v>47</v>
      </c>
      <c r="J105" s="1" t="s">
        <v>48</v>
      </c>
      <c r="K105" s="1"/>
      <c r="L105" s="1"/>
      <c r="M105" s="1"/>
      <c r="N105" s="1"/>
      <c r="O105" s="1"/>
      <c r="P105" s="1"/>
      <c r="Q105" s="1"/>
      <c r="R105" s="1"/>
    </row>
    <row r="106" spans="1:18" x14ac:dyDescent="0.3">
      <c r="A106" s="1" t="s">
        <v>36</v>
      </c>
      <c r="B106" s="1"/>
      <c r="C106" s="1"/>
      <c r="D106" s="1"/>
      <c r="E106" s="1"/>
      <c r="F106" s="1"/>
      <c r="G106" s="1"/>
      <c r="H106" s="1" t="s">
        <v>35</v>
      </c>
      <c r="I106" s="1" t="s">
        <v>56</v>
      </c>
      <c r="J106" s="1" t="s">
        <v>56</v>
      </c>
      <c r="K106" s="1"/>
      <c r="L106" s="1"/>
      <c r="M106" s="1"/>
      <c r="N106" s="1"/>
      <c r="O106" s="1"/>
      <c r="P106" s="1"/>
      <c r="Q106" s="1"/>
      <c r="R106" s="1"/>
    </row>
    <row r="107" spans="1:18" x14ac:dyDescent="0.3">
      <c r="A107" s="1" t="s">
        <v>37</v>
      </c>
      <c r="B107" s="1"/>
      <c r="C107" s="1"/>
      <c r="D107" s="1"/>
      <c r="E107" s="1"/>
      <c r="F107" s="1"/>
      <c r="G107" s="1"/>
      <c r="H107" s="1" t="s">
        <v>35</v>
      </c>
      <c r="I107" s="1" t="s">
        <v>176</v>
      </c>
      <c r="J107" s="1" t="s">
        <v>176</v>
      </c>
      <c r="K107" s="1"/>
      <c r="L107" s="1"/>
      <c r="M107" s="1"/>
      <c r="N107" s="1"/>
      <c r="O107" s="1"/>
      <c r="P107" s="1"/>
      <c r="Q107" s="1"/>
      <c r="R107" s="1"/>
    </row>
    <row r="108" spans="1:18" x14ac:dyDescent="0.3">
      <c r="A108" s="1" t="s">
        <v>37</v>
      </c>
      <c r="B108" s="1"/>
      <c r="C108" s="1"/>
      <c r="D108" s="1"/>
      <c r="E108" s="1"/>
      <c r="F108" s="1"/>
      <c r="G108" s="1"/>
      <c r="H108" s="1" t="s">
        <v>35</v>
      </c>
      <c r="I108" s="1" t="s">
        <v>169</v>
      </c>
      <c r="J108" s="1" t="s">
        <v>187</v>
      </c>
      <c r="K108" s="1"/>
      <c r="L108" s="1"/>
      <c r="M108" s="1"/>
      <c r="N108" s="1"/>
      <c r="O108" s="1"/>
      <c r="P108" s="1"/>
      <c r="Q108" s="1"/>
      <c r="R108" s="1"/>
    </row>
    <row r="109" spans="1:18" x14ac:dyDescent="0.3">
      <c r="A109" s="1" t="s">
        <v>37</v>
      </c>
      <c r="B109" s="1"/>
      <c r="C109" s="1"/>
      <c r="D109" s="1"/>
      <c r="E109" s="1"/>
      <c r="F109" s="1"/>
      <c r="G109" s="1"/>
      <c r="H109" s="1" t="s">
        <v>35</v>
      </c>
      <c r="I109" s="1" t="s">
        <v>170</v>
      </c>
      <c r="J109" s="1" t="s">
        <v>188</v>
      </c>
      <c r="K109" s="1"/>
      <c r="L109" s="1"/>
      <c r="M109" s="1"/>
      <c r="N109" s="1"/>
      <c r="O109" s="1"/>
      <c r="P109" s="1"/>
      <c r="Q109" s="1"/>
      <c r="R109" s="1"/>
    </row>
    <row r="110" spans="1:18" x14ac:dyDescent="0.3">
      <c r="A110" s="1" t="s">
        <v>37</v>
      </c>
      <c r="B110" s="1"/>
      <c r="C110" s="1"/>
      <c r="D110" s="1"/>
      <c r="E110" s="1"/>
      <c r="F110" s="1"/>
      <c r="G110" s="1"/>
      <c r="H110" s="1" t="s">
        <v>35</v>
      </c>
      <c r="I110" s="1" t="s">
        <v>175</v>
      </c>
      <c r="J110" s="1" t="s">
        <v>189</v>
      </c>
      <c r="K110" s="1"/>
      <c r="L110" s="1"/>
      <c r="M110" s="1"/>
      <c r="N110" s="1"/>
      <c r="O110" s="1"/>
      <c r="P110" s="1"/>
      <c r="Q110" s="1"/>
      <c r="R110" s="1"/>
    </row>
    <row r="111" spans="1:18" x14ac:dyDescent="0.3">
      <c r="A111" s="1" t="s">
        <v>37</v>
      </c>
      <c r="B111" s="1"/>
      <c r="C111" s="1"/>
      <c r="D111" s="1"/>
      <c r="E111" s="1"/>
      <c r="F111" s="1"/>
      <c r="G111" s="1"/>
      <c r="H111" s="1" t="s">
        <v>35</v>
      </c>
      <c r="I111" s="1" t="s">
        <v>35</v>
      </c>
      <c r="J111" s="1" t="s">
        <v>37</v>
      </c>
      <c r="K111" s="1" t="s">
        <v>193</v>
      </c>
      <c r="L111" s="1"/>
      <c r="M111" s="1"/>
      <c r="N111" s="1"/>
      <c r="O111" s="1"/>
      <c r="P111" s="1"/>
      <c r="Q111" s="1"/>
      <c r="R111" s="1"/>
    </row>
    <row r="112" spans="1:18" x14ac:dyDescent="0.3">
      <c r="A112" s="1" t="s">
        <v>37</v>
      </c>
      <c r="B112" s="1"/>
      <c r="C112" s="1"/>
      <c r="D112" s="1"/>
      <c r="E112" s="1"/>
      <c r="F112" s="1"/>
      <c r="G112" s="1"/>
      <c r="H112" s="1" t="s">
        <v>35</v>
      </c>
      <c r="I112" s="1" t="s">
        <v>40</v>
      </c>
      <c r="J112" s="1" t="s">
        <v>45</v>
      </c>
      <c r="K112" s="1" t="s">
        <v>194</v>
      </c>
      <c r="L112" s="1"/>
      <c r="M112" s="1"/>
      <c r="N112" s="1"/>
      <c r="O112" s="1"/>
      <c r="P112" s="1"/>
      <c r="Q112" s="1"/>
      <c r="R112" s="1"/>
    </row>
    <row r="113" spans="1:18" x14ac:dyDescent="0.3">
      <c r="A113" s="1" t="s">
        <v>37</v>
      </c>
      <c r="B113" s="1"/>
      <c r="C113" s="1"/>
      <c r="D113" s="1"/>
      <c r="E113" s="1"/>
      <c r="F113" s="1"/>
      <c r="G113" s="1"/>
      <c r="H113" s="1" t="s">
        <v>35</v>
      </c>
      <c r="I113" s="1" t="s">
        <v>47</v>
      </c>
      <c r="J113" s="1" t="s">
        <v>49</v>
      </c>
      <c r="K113" s="1" t="s">
        <v>195</v>
      </c>
      <c r="L113" s="1"/>
      <c r="M113" s="1"/>
      <c r="N113" s="1"/>
      <c r="O113" s="1"/>
      <c r="P113" s="1"/>
      <c r="Q113" s="1"/>
      <c r="R113" s="1"/>
    </row>
    <row r="114" spans="1:18" x14ac:dyDescent="0.3">
      <c r="A114" s="1" t="s">
        <v>37</v>
      </c>
      <c r="B114" s="1"/>
      <c r="C114" s="1"/>
      <c r="D114" s="1"/>
      <c r="E114" s="1"/>
      <c r="F114" s="1"/>
      <c r="G114" s="1"/>
      <c r="H114" s="1" t="s">
        <v>35</v>
      </c>
      <c r="I114" s="1" t="s">
        <v>52</v>
      </c>
      <c r="J114" s="1" t="s">
        <v>52</v>
      </c>
      <c r="K114" s="1"/>
      <c r="L114" s="1"/>
      <c r="M114" s="1"/>
      <c r="N114" s="1"/>
      <c r="O114" s="1"/>
      <c r="P114" s="1"/>
      <c r="Q114" s="1"/>
      <c r="R114" s="1"/>
    </row>
    <row r="115" spans="1:18" x14ac:dyDescent="0.3">
      <c r="A115" s="1" t="s">
        <v>37</v>
      </c>
      <c r="B115" s="1"/>
      <c r="C115" s="1"/>
      <c r="D115" s="1"/>
      <c r="E115" s="1"/>
      <c r="F115" s="1"/>
      <c r="G115" s="1"/>
      <c r="H115" s="1" t="s">
        <v>35</v>
      </c>
      <c r="I115" s="1" t="s">
        <v>56</v>
      </c>
      <c r="J115" s="1" t="s">
        <v>56</v>
      </c>
      <c r="K115" s="1"/>
      <c r="L115" s="1"/>
      <c r="M115" s="1"/>
      <c r="N115" s="1"/>
      <c r="O115" s="1"/>
      <c r="P115" s="1"/>
      <c r="Q115" s="1"/>
      <c r="R115" s="1"/>
    </row>
    <row r="116" spans="1:18" x14ac:dyDescent="0.3">
      <c r="A116" s="1" t="s">
        <v>37</v>
      </c>
      <c r="B116" s="1"/>
      <c r="C116" s="1"/>
      <c r="D116" s="1"/>
      <c r="E116" s="1"/>
      <c r="F116" s="1"/>
      <c r="G116" s="1"/>
      <c r="H116" s="1" t="s">
        <v>35</v>
      </c>
      <c r="I116" s="1" t="s">
        <v>178</v>
      </c>
      <c r="J116" s="1" t="s">
        <v>178</v>
      </c>
      <c r="K116" s="1"/>
      <c r="L116" s="1"/>
      <c r="M116" s="1"/>
      <c r="N116" s="1"/>
      <c r="O116" s="1"/>
      <c r="P116" s="1"/>
      <c r="Q116" s="1"/>
      <c r="R116" s="1"/>
    </row>
    <row r="117" spans="1:18" x14ac:dyDescent="0.3">
      <c r="A117" s="1" t="s">
        <v>38</v>
      </c>
      <c r="B117" s="1" t="s">
        <v>80</v>
      </c>
      <c r="C117" s="1" t="s">
        <v>123</v>
      </c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</row>
    <row r="118" spans="1:18" x14ac:dyDescent="0.3">
      <c r="A118" s="1" t="s">
        <v>38</v>
      </c>
      <c r="B118" s="1" t="s">
        <v>85</v>
      </c>
      <c r="C118" s="1" t="s">
        <v>124</v>
      </c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</row>
    <row r="119" spans="1:18" x14ac:dyDescent="0.3">
      <c r="A119" s="1" t="s">
        <v>38</v>
      </c>
      <c r="B119" s="1" t="s">
        <v>86</v>
      </c>
      <c r="C119" s="1" t="s">
        <v>125</v>
      </c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</row>
    <row r="120" spans="1:18" x14ac:dyDescent="0.3">
      <c r="A120" s="1" t="s">
        <v>38</v>
      </c>
      <c r="B120" s="1" t="s">
        <v>87</v>
      </c>
      <c r="C120" s="1" t="s">
        <v>126</v>
      </c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</row>
    <row r="121" spans="1:18" x14ac:dyDescent="0.3">
      <c r="A121" s="1" t="s">
        <v>38</v>
      </c>
      <c r="B121" s="1" t="s">
        <v>64</v>
      </c>
      <c r="C121" s="1" t="s">
        <v>127</v>
      </c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</row>
    <row r="122" spans="1:18" x14ac:dyDescent="0.3">
      <c r="A122" s="1" t="s">
        <v>38</v>
      </c>
      <c r="B122" s="1" t="s">
        <v>59</v>
      </c>
      <c r="C122" s="1" t="s">
        <v>59</v>
      </c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</row>
    <row r="123" spans="1:18" x14ac:dyDescent="0.3">
      <c r="A123" s="1" t="s">
        <v>38</v>
      </c>
      <c r="B123" s="1" t="s">
        <v>39</v>
      </c>
      <c r="C123" s="1" t="s">
        <v>39</v>
      </c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</row>
    <row r="124" spans="1:18" x14ac:dyDescent="0.3">
      <c r="A124" s="1" t="s">
        <v>38</v>
      </c>
      <c r="B124" s="1"/>
      <c r="C124" s="1"/>
      <c r="D124" s="1"/>
      <c r="E124" s="1"/>
      <c r="F124" s="1" t="s">
        <v>153</v>
      </c>
      <c r="G124" s="1" t="s">
        <v>156</v>
      </c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</row>
    <row r="125" spans="1:18" x14ac:dyDescent="0.3">
      <c r="A125" s="1" t="s">
        <v>38</v>
      </c>
      <c r="B125" s="1"/>
      <c r="C125" s="1"/>
      <c r="D125" s="1"/>
      <c r="E125" s="1"/>
      <c r="F125" s="1" t="s">
        <v>155</v>
      </c>
      <c r="G125" s="1" t="s">
        <v>158</v>
      </c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</row>
    <row r="126" spans="1:18" x14ac:dyDescent="0.3">
      <c r="A126" s="1" t="s">
        <v>39</v>
      </c>
      <c r="B126" s="1"/>
      <c r="C126" s="1"/>
      <c r="D126" s="1" t="s">
        <v>143</v>
      </c>
      <c r="E126" s="1" t="s">
        <v>146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</row>
    <row r="127" spans="1:18" x14ac:dyDescent="0.3">
      <c r="A127" s="1" t="s">
        <v>39</v>
      </c>
      <c r="B127" s="1"/>
      <c r="C127" s="1"/>
      <c r="D127" s="1" t="s">
        <v>144</v>
      </c>
      <c r="E127" s="1" t="s">
        <v>147</v>
      </c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</row>
    <row r="128" spans="1:18" x14ac:dyDescent="0.3">
      <c r="A128" s="1" t="s">
        <v>39</v>
      </c>
      <c r="B128" s="1"/>
      <c r="C128" s="1"/>
      <c r="D128" s="1" t="s">
        <v>99</v>
      </c>
      <c r="E128" s="1" t="s">
        <v>148</v>
      </c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</row>
    <row r="129" spans="1:18" x14ac:dyDescent="0.3">
      <c r="A129" s="1" t="s">
        <v>39</v>
      </c>
      <c r="B129" s="1"/>
      <c r="C129" s="1"/>
      <c r="D129" s="1" t="s">
        <v>145</v>
      </c>
      <c r="E129" s="1" t="s">
        <v>149</v>
      </c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</row>
    <row r="130" spans="1:18" x14ac:dyDescent="0.3">
      <c r="A130" s="1" t="s">
        <v>39</v>
      </c>
      <c r="B130" s="1"/>
      <c r="C130" s="1"/>
      <c r="D130" s="1" t="s">
        <v>87</v>
      </c>
      <c r="E130" s="1" t="s">
        <v>150</v>
      </c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</row>
    <row r="131" spans="1:18" x14ac:dyDescent="0.3">
      <c r="A131" s="1" t="s">
        <v>39</v>
      </c>
      <c r="B131" s="1"/>
      <c r="C131" s="1"/>
      <c r="D131" s="1" t="s">
        <v>64</v>
      </c>
      <c r="E131" s="1" t="s">
        <v>151</v>
      </c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</row>
    <row r="132" spans="1:18" x14ac:dyDescent="0.3">
      <c r="A132" s="1" t="s">
        <v>39</v>
      </c>
      <c r="B132" s="1"/>
      <c r="C132" s="1"/>
      <c r="D132" s="1" t="s">
        <v>59</v>
      </c>
      <c r="E132" s="1" t="s">
        <v>59</v>
      </c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</row>
    <row r="133" spans="1:18" x14ac:dyDescent="0.3">
      <c r="A133" s="1" t="s">
        <v>39</v>
      </c>
      <c r="B133" s="1"/>
      <c r="C133" s="1"/>
      <c r="D133" s="1"/>
      <c r="E133" s="1"/>
      <c r="F133" s="1" t="s">
        <v>153</v>
      </c>
      <c r="G133" s="1" t="s">
        <v>156</v>
      </c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</row>
    <row r="134" spans="1:18" x14ac:dyDescent="0.3">
      <c r="A134" s="1" t="s">
        <v>39</v>
      </c>
      <c r="B134" s="1"/>
      <c r="C134" s="1"/>
      <c r="D134" s="1"/>
      <c r="E134" s="1"/>
      <c r="F134" s="1" t="s">
        <v>155</v>
      </c>
      <c r="G134" s="1" t="s">
        <v>159</v>
      </c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</row>
    <row r="135" spans="1:18" x14ac:dyDescent="0.3">
      <c r="A135" s="1" t="s">
        <v>40</v>
      </c>
      <c r="B135" s="1" t="s">
        <v>80</v>
      </c>
      <c r="C135" s="1" t="s">
        <v>128</v>
      </c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</row>
    <row r="136" spans="1:18" x14ac:dyDescent="0.3">
      <c r="A136" s="1" t="s">
        <v>40</v>
      </c>
      <c r="B136" s="1" t="s">
        <v>81</v>
      </c>
      <c r="C136" s="1" t="s">
        <v>81</v>
      </c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</row>
    <row r="137" spans="1:18" x14ac:dyDescent="0.3">
      <c r="A137" s="1" t="s">
        <v>40</v>
      </c>
      <c r="B137" s="1" t="s">
        <v>88</v>
      </c>
      <c r="C137" s="1" t="s">
        <v>129</v>
      </c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</row>
    <row r="138" spans="1:18" x14ac:dyDescent="0.3">
      <c r="A138" s="1" t="s">
        <v>40</v>
      </c>
      <c r="B138" s="1" t="s">
        <v>83</v>
      </c>
      <c r="C138" s="1" t="s">
        <v>115</v>
      </c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</row>
    <row r="139" spans="1:18" x14ac:dyDescent="0.3">
      <c r="A139" s="1" t="s">
        <v>40</v>
      </c>
      <c r="B139" s="1" t="s">
        <v>64</v>
      </c>
      <c r="C139" s="1" t="s">
        <v>130</v>
      </c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</row>
    <row r="140" spans="1:18" x14ac:dyDescent="0.3">
      <c r="A140" s="1" t="s">
        <v>40</v>
      </c>
      <c r="B140" s="1" t="s">
        <v>59</v>
      </c>
      <c r="C140" s="1" t="s">
        <v>59</v>
      </c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</row>
    <row r="141" spans="1:18" x14ac:dyDescent="0.3">
      <c r="A141" s="1" t="s">
        <v>40</v>
      </c>
      <c r="B141" s="1"/>
      <c r="C141" s="1"/>
      <c r="D141" s="1"/>
      <c r="E141" s="1"/>
      <c r="F141" s="1" t="s">
        <v>154</v>
      </c>
      <c r="G141" s="1" t="s">
        <v>160</v>
      </c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</row>
    <row r="142" spans="1:18" x14ac:dyDescent="0.3">
      <c r="A142" s="1" t="s">
        <v>40</v>
      </c>
      <c r="B142" s="1"/>
      <c r="C142" s="1"/>
      <c r="D142" s="1"/>
      <c r="E142" s="1"/>
      <c r="F142" s="1" t="s">
        <v>153</v>
      </c>
      <c r="G142" s="1" t="s">
        <v>156</v>
      </c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</row>
    <row r="143" spans="1:18" x14ac:dyDescent="0.3">
      <c r="A143" s="1" t="s">
        <v>41</v>
      </c>
      <c r="B143" s="1"/>
      <c r="C143" s="1"/>
      <c r="D143" s="1"/>
      <c r="E143" s="1"/>
      <c r="F143" s="1"/>
      <c r="G143" s="1"/>
      <c r="H143" s="1" t="s">
        <v>40</v>
      </c>
      <c r="I143" s="1" t="s">
        <v>35</v>
      </c>
      <c r="J143" s="1" t="s">
        <v>36</v>
      </c>
      <c r="K143" s="1"/>
      <c r="L143" s="1"/>
      <c r="M143" s="1"/>
      <c r="N143" s="1"/>
      <c r="O143" s="1"/>
      <c r="P143" s="1"/>
      <c r="Q143" s="1"/>
      <c r="R143" s="1"/>
    </row>
    <row r="144" spans="1:18" x14ac:dyDescent="0.3">
      <c r="A144" s="1" t="s">
        <v>42</v>
      </c>
      <c r="B144" s="1"/>
      <c r="C144" s="1"/>
      <c r="D144" s="1"/>
      <c r="E144" s="1"/>
      <c r="F144" s="1"/>
      <c r="G144" s="1"/>
      <c r="H144" s="1" t="s">
        <v>40</v>
      </c>
      <c r="I144" s="1" t="s">
        <v>47</v>
      </c>
      <c r="J144" s="1" t="s">
        <v>48</v>
      </c>
      <c r="K144" s="1"/>
      <c r="L144" s="1"/>
      <c r="M144" s="1"/>
      <c r="N144" s="1"/>
      <c r="O144" s="1"/>
      <c r="P144" s="1"/>
      <c r="Q144" s="1"/>
      <c r="R144" s="1"/>
    </row>
    <row r="145" spans="1:18" x14ac:dyDescent="0.3">
      <c r="A145" s="1" t="s">
        <v>43</v>
      </c>
      <c r="B145" s="1"/>
      <c r="C145" s="1"/>
      <c r="D145" s="1"/>
      <c r="E145" s="1"/>
      <c r="F145" s="1"/>
      <c r="G145" s="1"/>
      <c r="H145" s="1" t="s">
        <v>40</v>
      </c>
      <c r="I145" s="1" t="s">
        <v>32</v>
      </c>
      <c r="J145" s="1" t="s">
        <v>34</v>
      </c>
      <c r="K145" s="1"/>
      <c r="L145" s="1"/>
      <c r="M145" s="1"/>
      <c r="N145" s="1"/>
      <c r="O145" s="1"/>
      <c r="P145" s="1"/>
      <c r="Q145" s="1"/>
      <c r="R145" s="1"/>
    </row>
    <row r="146" spans="1:18" x14ac:dyDescent="0.3">
      <c r="A146" s="1" t="s">
        <v>44</v>
      </c>
      <c r="B146" s="1"/>
      <c r="C146" s="1"/>
      <c r="D146" s="1"/>
      <c r="E146" s="1"/>
      <c r="F146" s="1"/>
      <c r="G146" s="1"/>
      <c r="H146" s="1" t="s">
        <v>40</v>
      </c>
      <c r="I146" s="1" t="s">
        <v>35</v>
      </c>
      <c r="J146" s="1" t="s">
        <v>37</v>
      </c>
      <c r="K146" s="1" t="s">
        <v>196</v>
      </c>
      <c r="L146" s="1"/>
      <c r="M146" s="1"/>
      <c r="N146" s="1"/>
      <c r="O146" s="1"/>
      <c r="P146" s="1"/>
      <c r="Q146" s="1"/>
      <c r="R146" s="1"/>
    </row>
    <row r="147" spans="1:18" x14ac:dyDescent="0.3">
      <c r="A147" s="1" t="s">
        <v>45</v>
      </c>
      <c r="B147" s="1"/>
      <c r="C147" s="1"/>
      <c r="D147" s="1"/>
      <c r="E147" s="1"/>
      <c r="F147" s="1"/>
      <c r="G147" s="1"/>
      <c r="H147" s="1" t="s">
        <v>40</v>
      </c>
      <c r="I147" s="1" t="s">
        <v>47</v>
      </c>
      <c r="J147" s="1" t="s">
        <v>49</v>
      </c>
      <c r="K147" s="1" t="s">
        <v>197</v>
      </c>
      <c r="L147" s="1"/>
      <c r="M147" s="1"/>
      <c r="N147" s="1"/>
      <c r="O147" s="1"/>
      <c r="P147" s="1"/>
      <c r="Q147" s="1"/>
      <c r="R147" s="1"/>
    </row>
    <row r="148" spans="1:18" x14ac:dyDescent="0.3">
      <c r="A148" s="1" t="s">
        <v>45</v>
      </c>
      <c r="B148" s="1"/>
      <c r="C148" s="1"/>
      <c r="D148" s="1"/>
      <c r="E148" s="1"/>
      <c r="F148" s="1"/>
      <c r="G148" s="1"/>
      <c r="H148" s="1" t="s">
        <v>40</v>
      </c>
      <c r="I148" s="1" t="s">
        <v>52</v>
      </c>
      <c r="J148" s="1" t="s">
        <v>52</v>
      </c>
      <c r="K148" s="1"/>
      <c r="L148" s="1"/>
      <c r="M148" s="1"/>
      <c r="N148" s="1"/>
      <c r="O148" s="1"/>
      <c r="P148" s="1"/>
      <c r="Q148" s="1"/>
      <c r="R148" s="1"/>
    </row>
    <row r="149" spans="1:18" x14ac:dyDescent="0.3">
      <c r="A149" s="1" t="s">
        <v>46</v>
      </c>
      <c r="B149" s="1"/>
      <c r="C149" s="1"/>
      <c r="D149" s="1"/>
      <c r="E149" s="1"/>
      <c r="F149" s="1"/>
      <c r="G149" s="1"/>
      <c r="H149" s="1" t="s">
        <v>40</v>
      </c>
      <c r="I149" s="1" t="s">
        <v>47</v>
      </c>
      <c r="J149" s="1" t="s">
        <v>49</v>
      </c>
      <c r="K149" s="1" t="s">
        <v>198</v>
      </c>
      <c r="L149" s="1"/>
      <c r="M149" s="1"/>
      <c r="N149" s="1"/>
      <c r="O149" s="1"/>
      <c r="P149" s="1"/>
      <c r="Q149" s="1"/>
      <c r="R149" s="1"/>
    </row>
    <row r="150" spans="1:18" x14ac:dyDescent="0.3">
      <c r="A150" s="1" t="s">
        <v>46</v>
      </c>
      <c r="B150" s="1"/>
      <c r="C150" s="1"/>
      <c r="D150" s="1"/>
      <c r="E150" s="1"/>
      <c r="F150" s="1"/>
      <c r="G150" s="1"/>
      <c r="H150" s="1" t="s">
        <v>40</v>
      </c>
      <c r="I150" s="1" t="s">
        <v>52</v>
      </c>
      <c r="J150" s="1" t="s">
        <v>52</v>
      </c>
      <c r="K150" s="1"/>
      <c r="L150" s="1"/>
      <c r="M150" s="1"/>
      <c r="N150" s="1"/>
      <c r="O150" s="1"/>
      <c r="P150" s="1"/>
      <c r="Q150" s="1"/>
      <c r="R150" s="1"/>
    </row>
    <row r="151" spans="1:18" x14ac:dyDescent="0.3">
      <c r="A151" s="1" t="s">
        <v>46</v>
      </c>
      <c r="B151" s="1"/>
      <c r="C151" s="1"/>
      <c r="D151" s="1"/>
      <c r="E151" s="1"/>
      <c r="F151" s="1"/>
      <c r="G151" s="1"/>
      <c r="H151" s="1" t="s">
        <v>40</v>
      </c>
      <c r="I151" s="1" t="s">
        <v>40</v>
      </c>
      <c r="J151" s="1" t="s">
        <v>46</v>
      </c>
      <c r="K151" s="1" t="s">
        <v>199</v>
      </c>
      <c r="L151" s="1"/>
      <c r="M151" s="1"/>
      <c r="N151" s="1"/>
      <c r="O151" s="1"/>
      <c r="P151" s="1"/>
      <c r="Q151" s="1"/>
      <c r="R151" s="1"/>
    </row>
    <row r="152" spans="1:18" x14ac:dyDescent="0.3">
      <c r="A152" s="1" t="s">
        <v>47</v>
      </c>
      <c r="B152" s="1" t="s">
        <v>80</v>
      </c>
      <c r="C152" s="1" t="s">
        <v>131</v>
      </c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</row>
    <row r="153" spans="1:18" x14ac:dyDescent="0.3">
      <c r="A153" s="1" t="s">
        <v>47</v>
      </c>
      <c r="B153" s="1" t="s">
        <v>89</v>
      </c>
      <c r="C153" s="1" t="s">
        <v>89</v>
      </c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</row>
    <row r="154" spans="1:18" x14ac:dyDescent="0.3">
      <c r="A154" s="1" t="s">
        <v>47</v>
      </c>
      <c r="B154" s="1" t="s">
        <v>83</v>
      </c>
      <c r="C154" s="1" t="s">
        <v>132</v>
      </c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</row>
    <row r="155" spans="1:18" x14ac:dyDescent="0.3">
      <c r="A155" s="1" t="s">
        <v>47</v>
      </c>
      <c r="B155" s="1" t="s">
        <v>90</v>
      </c>
      <c r="C155" s="1" t="s">
        <v>90</v>
      </c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</row>
    <row r="156" spans="1:18" x14ac:dyDescent="0.3">
      <c r="A156" s="1" t="s">
        <v>47</v>
      </c>
      <c r="B156" s="1" t="s">
        <v>91</v>
      </c>
      <c r="C156" s="1" t="s">
        <v>129</v>
      </c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</row>
    <row r="157" spans="1:18" x14ac:dyDescent="0.3">
      <c r="A157" s="1" t="s">
        <v>47</v>
      </c>
      <c r="B157" s="1" t="s">
        <v>62</v>
      </c>
      <c r="C157" s="1" t="s">
        <v>104</v>
      </c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</row>
    <row r="158" spans="1:18" x14ac:dyDescent="0.3">
      <c r="A158" s="1" t="s">
        <v>47</v>
      </c>
      <c r="B158" s="1" t="s">
        <v>74</v>
      </c>
      <c r="C158" s="1" t="s">
        <v>133</v>
      </c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</row>
    <row r="159" spans="1:18" x14ac:dyDescent="0.3">
      <c r="A159" s="1" t="s">
        <v>47</v>
      </c>
      <c r="B159" s="1" t="s">
        <v>75</v>
      </c>
      <c r="C159" s="1" t="s">
        <v>134</v>
      </c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</row>
    <row r="160" spans="1:18" x14ac:dyDescent="0.3">
      <c r="A160" s="1" t="s">
        <v>47</v>
      </c>
      <c r="B160" s="1" t="s">
        <v>76</v>
      </c>
      <c r="C160" s="1" t="s">
        <v>135</v>
      </c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</row>
    <row r="161" spans="1:18" x14ac:dyDescent="0.3">
      <c r="A161" s="1" t="s">
        <v>47</v>
      </c>
      <c r="B161" s="1" t="s">
        <v>77</v>
      </c>
      <c r="C161" s="1" t="s">
        <v>136</v>
      </c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</row>
    <row r="162" spans="1:18" x14ac:dyDescent="0.3">
      <c r="A162" s="1" t="s">
        <v>47</v>
      </c>
      <c r="B162" s="1" t="s">
        <v>78</v>
      </c>
      <c r="C162" s="1" t="s">
        <v>137</v>
      </c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</row>
    <row r="163" spans="1:18" x14ac:dyDescent="0.3">
      <c r="A163" s="1" t="s">
        <v>47</v>
      </c>
      <c r="B163" s="1" t="s">
        <v>64</v>
      </c>
      <c r="C163" s="1" t="s">
        <v>138</v>
      </c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</row>
    <row r="164" spans="1:18" x14ac:dyDescent="0.3">
      <c r="A164" s="1" t="s">
        <v>47</v>
      </c>
      <c r="B164" s="1" t="s">
        <v>59</v>
      </c>
      <c r="C164" s="1" t="s">
        <v>59</v>
      </c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</row>
    <row r="165" spans="1:18" x14ac:dyDescent="0.3">
      <c r="A165" s="1" t="s">
        <v>47</v>
      </c>
      <c r="B165" s="1" t="s">
        <v>52</v>
      </c>
      <c r="C165" s="1" t="s">
        <v>52</v>
      </c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</row>
    <row r="166" spans="1:18" x14ac:dyDescent="0.3">
      <c r="A166" s="1" t="s">
        <v>47</v>
      </c>
      <c r="B166" s="1"/>
      <c r="C166" s="1"/>
      <c r="D166" s="1"/>
      <c r="E166" s="1"/>
      <c r="F166" s="1" t="s">
        <v>154</v>
      </c>
      <c r="G166" s="1" t="s">
        <v>161</v>
      </c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</row>
    <row r="167" spans="1:18" x14ac:dyDescent="0.3">
      <c r="A167" s="1" t="s">
        <v>47</v>
      </c>
      <c r="B167" s="1"/>
      <c r="C167" s="1"/>
      <c r="D167" s="1"/>
      <c r="E167" s="1"/>
      <c r="F167" s="1" t="s">
        <v>153</v>
      </c>
      <c r="G167" s="1" t="s">
        <v>156</v>
      </c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</row>
    <row r="168" spans="1:18" x14ac:dyDescent="0.3">
      <c r="A168" s="1" t="s">
        <v>48</v>
      </c>
      <c r="B168" s="1"/>
      <c r="C168" s="1"/>
      <c r="D168" s="1"/>
      <c r="E168" s="1"/>
      <c r="F168" s="1"/>
      <c r="G168" s="1"/>
      <c r="H168" s="1" t="s">
        <v>47</v>
      </c>
      <c r="I168" s="1" t="s">
        <v>179</v>
      </c>
      <c r="J168" s="1" t="s">
        <v>179</v>
      </c>
      <c r="K168" s="1"/>
      <c r="L168" s="1"/>
      <c r="M168" s="1"/>
      <c r="N168" s="1"/>
      <c r="O168" s="1"/>
      <c r="P168" s="1"/>
      <c r="Q168" s="1"/>
      <c r="R168" s="1"/>
    </row>
    <row r="169" spans="1:18" x14ac:dyDescent="0.3">
      <c r="A169" s="1" t="s">
        <v>48</v>
      </c>
      <c r="B169" s="1"/>
      <c r="C169" s="1"/>
      <c r="D169" s="1"/>
      <c r="E169" s="1"/>
      <c r="F169" s="1"/>
      <c r="G169" s="1"/>
      <c r="H169" s="1" t="s">
        <v>47</v>
      </c>
      <c r="I169" s="1" t="s">
        <v>56</v>
      </c>
      <c r="J169" s="1" t="s">
        <v>56</v>
      </c>
      <c r="K169" s="1"/>
      <c r="L169" s="1"/>
      <c r="M169" s="1"/>
      <c r="N169" s="1"/>
      <c r="O169" s="1"/>
      <c r="P169" s="1"/>
      <c r="Q169" s="1"/>
      <c r="R169" s="1"/>
    </row>
    <row r="170" spans="1:18" x14ac:dyDescent="0.3">
      <c r="A170" s="1" t="s">
        <v>49</v>
      </c>
      <c r="B170" s="1"/>
      <c r="C170" s="1"/>
      <c r="D170" s="1"/>
      <c r="E170" s="1"/>
      <c r="F170" s="1"/>
      <c r="G170" s="1"/>
      <c r="H170" s="1" t="s">
        <v>47</v>
      </c>
      <c r="I170" s="1" t="s">
        <v>56</v>
      </c>
      <c r="J170" s="1" t="s">
        <v>56</v>
      </c>
      <c r="K170" s="1"/>
      <c r="L170" s="1"/>
      <c r="M170" s="1"/>
      <c r="N170" s="1"/>
      <c r="O170" s="1"/>
      <c r="P170" s="1"/>
      <c r="Q170" s="1"/>
      <c r="R170" s="1"/>
    </row>
    <row r="171" spans="1:18" x14ac:dyDescent="0.3">
      <c r="A171" s="1" t="s">
        <v>50</v>
      </c>
      <c r="B171" s="1" t="s">
        <v>51</v>
      </c>
      <c r="C171" s="1" t="s">
        <v>51</v>
      </c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</row>
    <row r="172" spans="1:18" x14ac:dyDescent="0.3">
      <c r="A172" s="1" t="s">
        <v>50</v>
      </c>
      <c r="B172" s="1" t="s">
        <v>53</v>
      </c>
      <c r="C172" s="1" t="s">
        <v>53</v>
      </c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</row>
    <row r="173" spans="1:18" x14ac:dyDescent="0.3">
      <c r="A173" s="1" t="s">
        <v>51</v>
      </c>
      <c r="B173" s="1" t="s">
        <v>1</v>
      </c>
      <c r="C173" s="1" t="s">
        <v>139</v>
      </c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</row>
    <row r="174" spans="1:18" x14ac:dyDescent="0.3">
      <c r="A174" s="1" t="s">
        <v>51</v>
      </c>
      <c r="B174" s="1" t="s">
        <v>92</v>
      </c>
      <c r="C174" s="1" t="s">
        <v>92</v>
      </c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</row>
    <row r="175" spans="1:18" x14ac:dyDescent="0.3">
      <c r="A175" s="1" t="s">
        <v>51</v>
      </c>
      <c r="B175" s="1" t="s">
        <v>51</v>
      </c>
      <c r="C175" s="1" t="s">
        <v>51</v>
      </c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</row>
    <row r="176" spans="1:18" x14ac:dyDescent="0.3">
      <c r="A176" s="1" t="s">
        <v>51</v>
      </c>
      <c r="B176" s="1" t="s">
        <v>53</v>
      </c>
      <c r="C176" s="1" t="s">
        <v>53</v>
      </c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</row>
    <row r="177" spans="1:18" x14ac:dyDescent="0.3">
      <c r="A177" s="1" t="s">
        <v>52</v>
      </c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 t="s">
        <v>201</v>
      </c>
      <c r="O177" s="1" t="s">
        <v>0</v>
      </c>
      <c r="P177" s="1" t="s">
        <v>204</v>
      </c>
      <c r="Q177" s="1"/>
      <c r="R177" s="1"/>
    </row>
    <row r="178" spans="1:18" x14ac:dyDescent="0.3">
      <c r="A178" s="1" t="s">
        <v>52</v>
      </c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 t="s">
        <v>201</v>
      </c>
      <c r="O178" s="1" t="s">
        <v>202</v>
      </c>
      <c r="P178" s="1" t="s">
        <v>205</v>
      </c>
      <c r="Q178" s="1"/>
      <c r="R178" s="1"/>
    </row>
    <row r="179" spans="1:18" x14ac:dyDescent="0.3">
      <c r="A179" s="1" t="s">
        <v>52</v>
      </c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 t="s">
        <v>201</v>
      </c>
      <c r="O179" s="1" t="s">
        <v>203</v>
      </c>
      <c r="P179" s="1" t="s">
        <v>206</v>
      </c>
      <c r="Q179" s="1"/>
      <c r="R179" s="1"/>
    </row>
    <row r="180" spans="1:18" x14ac:dyDescent="0.3">
      <c r="A180" s="1" t="s">
        <v>52</v>
      </c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 t="s">
        <v>201</v>
      </c>
      <c r="O180" s="1" t="s">
        <v>153</v>
      </c>
      <c r="P180" s="1" t="s">
        <v>207</v>
      </c>
      <c r="Q180" s="1"/>
      <c r="R180" s="1"/>
    </row>
    <row r="181" spans="1:18" x14ac:dyDescent="0.3">
      <c r="A181" s="1" t="s">
        <v>53</v>
      </c>
      <c r="B181" s="1" t="s">
        <v>1</v>
      </c>
      <c r="C181" s="1" t="s">
        <v>140</v>
      </c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</row>
    <row r="182" spans="1:18" x14ac:dyDescent="0.3">
      <c r="A182" s="1" t="s">
        <v>53</v>
      </c>
      <c r="B182" s="1" t="s">
        <v>92</v>
      </c>
      <c r="C182" s="1" t="s">
        <v>92</v>
      </c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</row>
    <row r="183" spans="1:18" x14ac:dyDescent="0.3">
      <c r="A183" s="1" t="s">
        <v>53</v>
      </c>
      <c r="B183" s="1" t="s">
        <v>93</v>
      </c>
      <c r="C183" s="1" t="s">
        <v>93</v>
      </c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</row>
    <row r="184" spans="1:18" x14ac:dyDescent="0.3">
      <c r="A184" s="1" t="s">
        <v>53</v>
      </c>
      <c r="B184" s="1" t="s">
        <v>94</v>
      </c>
      <c r="C184" s="1" t="s">
        <v>94</v>
      </c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</row>
    <row r="185" spans="1:18" x14ac:dyDescent="0.3">
      <c r="A185" s="1" t="s">
        <v>53</v>
      </c>
      <c r="B185" s="1" t="s">
        <v>95</v>
      </c>
      <c r="C185" s="1" t="s">
        <v>54</v>
      </c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</row>
    <row r="186" spans="1:18" x14ac:dyDescent="0.3">
      <c r="A186" s="1" t="s">
        <v>53</v>
      </c>
      <c r="B186" s="1" t="s">
        <v>56</v>
      </c>
      <c r="C186" s="1" t="s">
        <v>56</v>
      </c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</row>
    <row r="187" spans="1:18" x14ac:dyDescent="0.3">
      <c r="A187" s="1" t="s">
        <v>53</v>
      </c>
      <c r="B187" s="1"/>
      <c r="C187" s="1"/>
      <c r="D187" s="1"/>
      <c r="E187" s="1"/>
      <c r="F187" s="1" t="s">
        <v>154</v>
      </c>
      <c r="G187" s="1" t="s">
        <v>162</v>
      </c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</row>
    <row r="188" spans="1:18" x14ac:dyDescent="0.3">
      <c r="A188" s="1" t="s">
        <v>54</v>
      </c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 t="s">
        <v>95</v>
      </c>
      <c r="O188" s="1" t="s">
        <v>1</v>
      </c>
      <c r="P188" s="1" t="s">
        <v>142</v>
      </c>
      <c r="Q188" s="1"/>
      <c r="R188" s="1"/>
    </row>
    <row r="189" spans="1:18" x14ac:dyDescent="0.3">
      <c r="A189" s="1" t="s">
        <v>55</v>
      </c>
      <c r="B189" s="1" t="s">
        <v>96</v>
      </c>
      <c r="C189" s="1" t="s">
        <v>96</v>
      </c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</row>
    <row r="190" spans="1:18" x14ac:dyDescent="0.3">
      <c r="A190" s="1" t="s">
        <v>55</v>
      </c>
      <c r="B190" s="1" t="s">
        <v>97</v>
      </c>
      <c r="C190" s="1" t="s">
        <v>97</v>
      </c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</row>
    <row r="191" spans="1:18" x14ac:dyDescent="0.3">
      <c r="A191" s="1" t="s">
        <v>55</v>
      </c>
      <c r="B191" s="1" t="s">
        <v>98</v>
      </c>
      <c r="C191" s="1" t="s">
        <v>141</v>
      </c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</row>
    <row r="192" spans="1:18" x14ac:dyDescent="0.3">
      <c r="A192" s="1" t="s">
        <v>55</v>
      </c>
      <c r="B192" s="1" t="s">
        <v>99</v>
      </c>
      <c r="C192" s="1" t="s">
        <v>99</v>
      </c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</row>
    <row r="193" spans="1:18" x14ac:dyDescent="0.3">
      <c r="A193" s="1" t="s">
        <v>56</v>
      </c>
      <c r="B193" s="1" t="s">
        <v>100</v>
      </c>
      <c r="C193" s="1" t="s">
        <v>100</v>
      </c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</row>
    <row r="194" spans="1:18" x14ac:dyDescent="0.3">
      <c r="A194" s="1" t="s">
        <v>56</v>
      </c>
      <c r="B194" s="1" t="s">
        <v>101</v>
      </c>
      <c r="C194" s="1" t="s">
        <v>101</v>
      </c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</row>
    <row r="195" spans="1:18" x14ac:dyDescent="0.3">
      <c r="A195" s="1" t="s">
        <v>56</v>
      </c>
      <c r="B195" s="1" t="s">
        <v>102</v>
      </c>
      <c r="C195" s="1" t="s">
        <v>102</v>
      </c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</row>
    <row r="196" spans="1:18" x14ac:dyDescent="0.3">
      <c r="A196" s="1" t="s">
        <v>56</v>
      </c>
      <c r="B196" s="1"/>
      <c r="C196" s="1"/>
      <c r="D196" s="1"/>
      <c r="E196" s="1"/>
      <c r="F196" s="1" t="s">
        <v>154</v>
      </c>
      <c r="G196" s="1" t="s">
        <v>163</v>
      </c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</row>
    <row r="197" spans="1:18" x14ac:dyDescent="0.3">
      <c r="A197" s="1" t="s">
        <v>57</v>
      </c>
      <c r="B197" s="1" t="s">
        <v>52</v>
      </c>
      <c r="C197" s="1" t="s">
        <v>52</v>
      </c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</row>
    <row r="198" spans="1:18" x14ac:dyDescent="0.3">
      <c r="A198" s="1" t="s">
        <v>57</v>
      </c>
      <c r="B198" s="1" t="s">
        <v>103</v>
      </c>
      <c r="C198" s="1" t="s">
        <v>142</v>
      </c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</row>
    <row r="199" spans="1:18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 t="s">
        <v>156</v>
      </c>
      <c r="R199" s="1" t="s">
        <v>208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AA114"/>
  <sheetViews>
    <sheetView zoomScaleNormal="100" workbookViewId="0">
      <selection activeCell="F2" sqref="F2"/>
    </sheetView>
  </sheetViews>
  <sheetFormatPr baseColWidth="10" defaultColWidth="11.44140625" defaultRowHeight="14.4" x14ac:dyDescent="0.3"/>
  <cols>
    <col min="1" max="1" width="35" customWidth="1"/>
    <col min="2" max="2" width="36.33203125" customWidth="1"/>
    <col min="3" max="3" width="8.6640625" bestFit="1" customWidth="1"/>
    <col min="4" max="4" width="6.6640625" bestFit="1" customWidth="1"/>
    <col min="5" max="5" width="23.44140625" bestFit="1" customWidth="1"/>
    <col min="6" max="6" width="36.109375" customWidth="1"/>
    <col min="7" max="7" width="99.44140625" bestFit="1" customWidth="1"/>
  </cols>
  <sheetData>
    <row r="1" spans="1:8" s="3" customFormat="1" x14ac:dyDescent="0.3">
      <c r="A1" s="3" t="s">
        <v>214</v>
      </c>
      <c r="B1" s="3" t="s">
        <v>210</v>
      </c>
      <c r="C1" s="3" t="s">
        <v>213</v>
      </c>
      <c r="D1" s="3" t="s">
        <v>215</v>
      </c>
      <c r="E1" s="3" t="s">
        <v>225</v>
      </c>
      <c r="F1" s="3" t="s">
        <v>211</v>
      </c>
      <c r="G1" s="3" t="s">
        <v>212</v>
      </c>
      <c r="H1" s="3" t="s">
        <v>218</v>
      </c>
    </row>
    <row r="2" spans="1:8" ht="16.8" x14ac:dyDescent="0.4">
      <c r="A2" t="s">
        <v>209</v>
      </c>
      <c r="B2" t="s">
        <v>20</v>
      </c>
      <c r="F2" s="4" t="e">
        <f>PROPER(Umlaut(FixSpacing(B2),1))&amp;IF(C2="",""," "&amp;C2)</f>
        <v>#VALUE!</v>
      </c>
      <c r="G2" t="str">
        <f>A2&amp;B2</f>
        <v>/paket</v>
      </c>
    </row>
    <row r="3" spans="1:8" ht="16.8" x14ac:dyDescent="0.4">
      <c r="A3" t="str">
        <f>G2</f>
        <v>/paket</v>
      </c>
      <c r="B3" t="s">
        <v>58</v>
      </c>
      <c r="F3" s="4" t="e">
        <f t="shared" ref="F3:F13" si="0">PROPER(Umlaut(FixSpacing(B3),1))&amp;IF(C3="",""," "&amp;C3)</f>
        <v>#VALUE!</v>
      </c>
      <c r="G3" t="str">
        <f t="shared" ref="G3:G69" si="1">A3&amp;$A$2&amp;B3&amp;IF(C3="","",$A$2&amp;C3)&amp;IF(D3="","",$A$2&amp;D3)</f>
        <v>/paket/paketTyp</v>
      </c>
    </row>
    <row r="4" spans="1:8" ht="16.8" x14ac:dyDescent="0.4">
      <c r="A4" t="str">
        <f>G2</f>
        <v>/paket</v>
      </c>
      <c r="B4" t="s">
        <v>59</v>
      </c>
      <c r="F4" s="4" t="e">
        <f t="shared" ref="F4" si="2">PROPER(Umlaut(FixSpacing(B4),1))&amp;IF(C4="",""," "&amp;C4)</f>
        <v>#VALUE!</v>
      </c>
      <c r="G4" t="str">
        <f t="shared" ref="G4" si="3">A4&amp;$A$2&amp;B4&amp;IF(C4="","",$A$2&amp;C4)&amp;IF(D4="","",$A$2&amp;D4)</f>
        <v>/paket/zusatzDaten</v>
      </c>
    </row>
    <row r="5" spans="1:8" ht="16.8" x14ac:dyDescent="0.4">
      <c r="A5" t="str">
        <f>G2</f>
        <v>/paket</v>
      </c>
      <c r="B5" t="s">
        <v>22</v>
      </c>
      <c r="F5" s="4" t="e">
        <f t="shared" si="0"/>
        <v>#VALUE!</v>
      </c>
      <c r="G5" t="str">
        <f t="shared" si="1"/>
        <v>/paket/ablieferung</v>
      </c>
    </row>
    <row r="6" spans="1:8" ht="16.8" x14ac:dyDescent="0.4">
      <c r="A6" t="str">
        <f>G5</f>
        <v>/paket/ablieferung</v>
      </c>
      <c r="B6" t="s">
        <v>60</v>
      </c>
      <c r="F6" s="4" t="e">
        <f t="shared" si="0"/>
        <v>#VALUE!</v>
      </c>
      <c r="G6" t="str">
        <f t="shared" si="1"/>
        <v>/paket/ablieferung/ablieferungstyp</v>
      </c>
    </row>
    <row r="7" spans="1:8" ht="16.8" x14ac:dyDescent="0.4">
      <c r="A7" t="str">
        <f>G5</f>
        <v>/paket/ablieferung</v>
      </c>
      <c r="B7" s="2" t="s">
        <v>61</v>
      </c>
      <c r="F7" s="4" t="e">
        <f t="shared" si="0"/>
        <v>#VALUE!</v>
      </c>
      <c r="G7" t="str">
        <f t="shared" ref="G7" si="4">A7&amp;$A$2&amp;B7&amp;IF(C7="","",$A$2&amp;C7)&amp;IF(D7="","",$A$2&amp;D7)</f>
        <v>/paket/ablieferung/ablieferndeStelle</v>
      </c>
    </row>
    <row r="8" spans="1:8" ht="16.8" x14ac:dyDescent="0.4">
      <c r="A8" t="str">
        <f>G5</f>
        <v>/paket/ablieferung</v>
      </c>
      <c r="B8" t="s">
        <v>62</v>
      </c>
      <c r="C8" t="s">
        <v>216</v>
      </c>
      <c r="D8" t="s">
        <v>98</v>
      </c>
      <c r="F8" s="4" t="e">
        <f t="shared" si="0"/>
        <v>#VALUE!</v>
      </c>
      <c r="G8" t="str">
        <f t="shared" si="1"/>
        <v>/paket/ablieferung/entstehungszeitraum/von/datum</v>
      </c>
    </row>
    <row r="9" spans="1:8" ht="16.8" x14ac:dyDescent="0.4">
      <c r="A9" t="str">
        <f>G5</f>
        <v>/paket/ablieferung</v>
      </c>
      <c r="B9" t="s">
        <v>62</v>
      </c>
      <c r="C9" t="s">
        <v>217</v>
      </c>
      <c r="D9" t="s">
        <v>98</v>
      </c>
      <c r="F9" s="4" t="e">
        <f t="shared" si="0"/>
        <v>#VALUE!</v>
      </c>
      <c r="G9" t="str">
        <f t="shared" si="1"/>
        <v>/paket/ablieferung/entstehungszeitraum/bis/datum</v>
      </c>
    </row>
    <row r="10" spans="1:8" ht="16.8" x14ac:dyDescent="0.4">
      <c r="A10" t="str">
        <f>G5</f>
        <v>/paket/ablieferung</v>
      </c>
      <c r="B10" s="1" t="s">
        <v>63</v>
      </c>
      <c r="F10" s="4" t="e">
        <f t="shared" si="0"/>
        <v>#VALUE!</v>
      </c>
      <c r="G10" t="str">
        <f t="shared" si="1"/>
        <v>/paket/ablieferung/ablieferungsteile</v>
      </c>
    </row>
    <row r="11" spans="1:8" ht="16.8" x14ac:dyDescent="0.4">
      <c r="A11" t="str">
        <f>G5</f>
        <v>/paket/ablieferung</v>
      </c>
      <c r="B11" s="1" t="s">
        <v>64</v>
      </c>
      <c r="F11" s="4" t="e">
        <f t="shared" si="0"/>
        <v>#VALUE!</v>
      </c>
      <c r="G11" t="str">
        <f t="shared" si="1"/>
        <v>/paket/ablieferung/bemerkung</v>
      </c>
    </row>
    <row r="12" spans="1:8" ht="16.8" x14ac:dyDescent="0.4">
      <c r="A12" t="str">
        <f>G5</f>
        <v>/paket/ablieferung</v>
      </c>
      <c r="B12" s="1" t="s">
        <v>59</v>
      </c>
      <c r="F12" s="4" t="e">
        <f t="shared" si="0"/>
        <v>#VALUE!</v>
      </c>
      <c r="G12" t="str">
        <f t="shared" si="1"/>
        <v>/paket/ablieferung/zusatzDaten</v>
      </c>
    </row>
    <row r="13" spans="1:8" ht="16.8" x14ac:dyDescent="0.4">
      <c r="A13" t="str">
        <f>G5</f>
        <v>/paket/ablieferung</v>
      </c>
      <c r="B13" s="1" t="s">
        <v>57</v>
      </c>
      <c r="F13" s="4" t="e">
        <f t="shared" si="0"/>
        <v>#VALUE!</v>
      </c>
      <c r="G13" t="str">
        <f t="shared" si="1"/>
        <v>/paket/ablieferung/unstrukturierterAnhang</v>
      </c>
      <c r="H13" t="s">
        <v>219</v>
      </c>
    </row>
    <row r="14" spans="1:8" ht="16.8" x14ac:dyDescent="0.4">
      <c r="A14" t="str">
        <f>G13</f>
        <v>/paket/ablieferung/unstrukturierterAnhang</v>
      </c>
      <c r="B14" t="s">
        <v>220</v>
      </c>
      <c r="F14" s="4" t="e">
        <f>PROPER(Umlaut(FixSpacing(B14),0))&amp;IF(C14="",""," "&amp;C14)</f>
        <v>#VALUE!</v>
      </c>
      <c r="G14" t="str">
        <f t="shared" si="1"/>
        <v>/paket/ablieferung/unstrukturierterAnhang/uniqueDateiRefUnstrukturierterAnhang</v>
      </c>
      <c r="H14" t="s">
        <v>219</v>
      </c>
    </row>
    <row r="15" spans="1:8" ht="16.8" x14ac:dyDescent="0.4">
      <c r="A15" t="str">
        <f>G$5</f>
        <v>/paket/ablieferung</v>
      </c>
      <c r="B15" s="1" t="s">
        <v>165</v>
      </c>
      <c r="F15" s="4" t="e">
        <f t="shared" ref="F15:F39" si="5">PROPER(Umlaut(FixSpacing(B15),1))&amp;IF(C15="",""," "&amp;C15)</f>
        <v>#VALUE!</v>
      </c>
      <c r="G15" t="str">
        <f t="shared" si="1"/>
        <v>/paket/ablieferung/ablieferungsnummer</v>
      </c>
    </row>
    <row r="16" spans="1:8" ht="16.8" x14ac:dyDescent="0.4">
      <c r="A16" t="str">
        <f t="shared" ref="A16:A41" si="6">G$5</f>
        <v>/paket/ablieferung</v>
      </c>
      <c r="B16" s="1" t="s">
        <v>166</v>
      </c>
      <c r="F16" s="4" t="e">
        <f t="shared" si="5"/>
        <v>#VALUE!</v>
      </c>
      <c r="G16" t="str">
        <f t="shared" si="1"/>
        <v>/paket/ablieferung/angebotsnummer</v>
      </c>
    </row>
    <row r="17" spans="1:27" ht="16.8" x14ac:dyDescent="0.4">
      <c r="A17" t="str">
        <f t="shared" si="6"/>
        <v>/paket/ablieferung</v>
      </c>
      <c r="B17" s="1" t="s">
        <v>167</v>
      </c>
      <c r="F17" s="4" t="e">
        <f t="shared" si="5"/>
        <v>#VALUE!</v>
      </c>
      <c r="G17" t="str">
        <f t="shared" si="1"/>
        <v>/paket/ablieferung/referenzBewertungsentscheid</v>
      </c>
    </row>
    <row r="18" spans="1:27" ht="16.8" x14ac:dyDescent="0.4">
      <c r="A18" t="str">
        <f t="shared" si="6"/>
        <v>/paket/ablieferung</v>
      </c>
      <c r="B18" s="1" t="s">
        <v>168</v>
      </c>
      <c r="F18" s="4" t="e">
        <f t="shared" si="5"/>
        <v>#VALUE!</v>
      </c>
      <c r="G18" t="str">
        <f t="shared" si="1"/>
        <v>/paket/ablieferung/referenzSchutzfristenFormular</v>
      </c>
    </row>
    <row r="19" spans="1:27" ht="16.8" x14ac:dyDescent="0.4">
      <c r="A19" t="str">
        <f t="shared" si="6"/>
        <v>/paket/ablieferung</v>
      </c>
      <c r="B19" s="1" t="s">
        <v>169</v>
      </c>
      <c r="F19" s="4" t="e">
        <f t="shared" si="5"/>
        <v>#VALUE!</v>
      </c>
      <c r="G19" t="str">
        <f t="shared" si="1"/>
        <v>/paket/ablieferung/schutzfristenkategorie</v>
      </c>
    </row>
    <row r="20" spans="1:27" ht="16.8" x14ac:dyDescent="0.4">
      <c r="A20" t="str">
        <f t="shared" si="6"/>
        <v>/paket/ablieferung</v>
      </c>
      <c r="B20" s="1" t="s">
        <v>170</v>
      </c>
      <c r="F20" s="4" t="e">
        <f t="shared" si="5"/>
        <v>#VALUE!</v>
      </c>
      <c r="G20" t="str">
        <f t="shared" si="1"/>
        <v>/paket/ablieferung/schutzfrist</v>
      </c>
    </row>
    <row r="21" spans="1:27" ht="16.8" x14ac:dyDescent="0.4">
      <c r="A21" t="str">
        <f t="shared" si="6"/>
        <v>/paket/ablieferung</v>
      </c>
      <c r="B21" s="1" t="s">
        <v>56</v>
      </c>
      <c r="F21" s="4" t="e">
        <f t="shared" si="5"/>
        <v>#VALUE!</v>
      </c>
      <c r="G21" t="str">
        <f t="shared" si="1"/>
        <v>/paket/ablieferung/archivischeNotiz</v>
      </c>
    </row>
    <row r="22" spans="1:27" ht="16.8" x14ac:dyDescent="0.4">
      <c r="A22" t="str">
        <f t="shared" si="6"/>
        <v>/paket/ablieferung</v>
      </c>
      <c r="B22" s="1" t="s">
        <v>26</v>
      </c>
      <c r="F22" s="4" t="e">
        <f t="shared" si="5"/>
        <v>#VALUE!</v>
      </c>
      <c r="G22" t="str">
        <f t="shared" si="1"/>
        <v>/paket/ablieferung/provenienz</v>
      </c>
    </row>
    <row r="23" spans="1:27" ht="16.8" x14ac:dyDescent="0.4">
      <c r="A23" t="str">
        <f>G$22</f>
        <v>/paket/ablieferung/provenienz</v>
      </c>
      <c r="B23" s="1" t="s">
        <v>65</v>
      </c>
      <c r="C23" s="1"/>
      <c r="D23" s="1"/>
      <c r="E23" s="1" t="s">
        <v>222</v>
      </c>
      <c r="F23" s="4" t="e">
        <f t="shared" si="5"/>
        <v>#VALUE!</v>
      </c>
      <c r="G23" t="str">
        <f t="shared" si="1"/>
        <v>/paket/ablieferung/provenienz/aktenbildnerName</v>
      </c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ht="16.8" x14ac:dyDescent="0.4">
      <c r="A24" t="str">
        <f t="shared" ref="A24:A35" si="7">G$22</f>
        <v>/paket/ablieferung/provenienz</v>
      </c>
      <c r="B24" s="1" t="s">
        <v>66</v>
      </c>
      <c r="C24" s="1"/>
      <c r="D24" s="1"/>
      <c r="E24" s="1" t="s">
        <v>222</v>
      </c>
      <c r="F24" s="4" t="e">
        <f t="shared" si="5"/>
        <v>#VALUE!</v>
      </c>
      <c r="G24" t="str">
        <f t="shared" si="1"/>
        <v>/paket/ablieferung/provenienz/systemName</v>
      </c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ht="16.8" x14ac:dyDescent="0.4">
      <c r="A25" t="str">
        <f t="shared" si="7"/>
        <v>/paket/ablieferung/provenienz</v>
      </c>
      <c r="B25" s="1" t="s">
        <v>67</v>
      </c>
      <c r="C25" s="1"/>
      <c r="D25" s="1"/>
      <c r="E25" s="1" t="s">
        <v>222</v>
      </c>
      <c r="F25" s="4" t="e">
        <f t="shared" si="5"/>
        <v>#VALUE!</v>
      </c>
      <c r="G25" t="str">
        <f t="shared" si="1"/>
        <v>/paket/ablieferung/provenienz/systemBeschreibung</v>
      </c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ht="16.8" x14ac:dyDescent="0.4">
      <c r="A26" t="str">
        <f t="shared" ref="A26" si="8">G$22</f>
        <v>/paket/ablieferung/provenienz</v>
      </c>
      <c r="B26" s="1" t="s">
        <v>68</v>
      </c>
      <c r="C26" s="1" t="s">
        <v>216</v>
      </c>
      <c r="D26" s="1" t="s">
        <v>98</v>
      </c>
      <c r="E26" s="1" t="s">
        <v>222</v>
      </c>
      <c r="F26" s="4" t="e">
        <f t="shared" si="5"/>
        <v>#VALUE!</v>
      </c>
      <c r="G26" t="str">
        <f t="shared" si="1"/>
        <v>/paket/ablieferung/provenienz/existenzzeitraum/von/datum</v>
      </c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ht="16.8" x14ac:dyDescent="0.4">
      <c r="A27" t="str">
        <f t="shared" si="7"/>
        <v>/paket/ablieferung/provenienz</v>
      </c>
      <c r="B27" s="1" t="s">
        <v>68</v>
      </c>
      <c r="C27" s="1" t="s">
        <v>217</v>
      </c>
      <c r="D27" s="1" t="s">
        <v>98</v>
      </c>
      <c r="E27" s="1" t="s">
        <v>222</v>
      </c>
      <c r="F27" s="4" t="e">
        <f t="shared" si="5"/>
        <v>#VALUE!</v>
      </c>
      <c r="G27" t="str">
        <f t="shared" si="1"/>
        <v>/paket/ablieferung/provenienz/existenzzeitraum/bis/datum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ht="16.8" x14ac:dyDescent="0.4">
      <c r="A28" t="str">
        <f t="shared" si="7"/>
        <v>/paket/ablieferung/provenienz</v>
      </c>
      <c r="B28" s="1" t="s">
        <v>69</v>
      </c>
      <c r="C28" s="1"/>
      <c r="D28" s="1"/>
      <c r="E28" s="1" t="s">
        <v>222</v>
      </c>
      <c r="F28" s="4" t="e">
        <f t="shared" si="5"/>
        <v>#VALUE!</v>
      </c>
      <c r="G28" t="str">
        <f t="shared" si="1"/>
        <v>/paket/ablieferung/provenienz/geschichteAktenbildner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ht="16.8" x14ac:dyDescent="0.4">
      <c r="A29" t="str">
        <f t="shared" si="7"/>
        <v>/paket/ablieferung/provenienz</v>
      </c>
      <c r="B29" s="1" t="s">
        <v>64</v>
      </c>
      <c r="C29" s="1"/>
      <c r="D29" s="1"/>
      <c r="E29" s="1" t="s">
        <v>222</v>
      </c>
      <c r="F29" s="4" t="e">
        <f t="shared" si="5"/>
        <v>#VALUE!</v>
      </c>
      <c r="G29" t="str">
        <f t="shared" si="1"/>
        <v>/paket/ablieferung/provenienz/bemerkung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ht="16.8" x14ac:dyDescent="0.4">
      <c r="A30" t="str">
        <f t="shared" si="7"/>
        <v>/paket/ablieferung/provenienz</v>
      </c>
      <c r="B30" s="1" t="s">
        <v>171</v>
      </c>
      <c r="C30" s="1"/>
      <c r="D30" s="1"/>
      <c r="E30" s="1" t="s">
        <v>222</v>
      </c>
      <c r="F30" s="4" t="e">
        <f t="shared" si="5"/>
        <v>#VALUE!</v>
      </c>
      <c r="G30" t="str">
        <f t="shared" si="1"/>
        <v>/paket/ablieferung/provenienz/registratur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ht="16.8" x14ac:dyDescent="0.4">
      <c r="A31" t="str">
        <f t="shared" si="7"/>
        <v>/paket/ablieferung/provenienz</v>
      </c>
      <c r="B31" s="1" t="s">
        <v>56</v>
      </c>
      <c r="C31" s="1"/>
      <c r="D31" s="1"/>
      <c r="E31" s="1" t="s">
        <v>222</v>
      </c>
      <c r="F31" s="4" t="e">
        <f t="shared" si="5"/>
        <v>#VALUE!</v>
      </c>
      <c r="G31" t="str">
        <f t="shared" si="1"/>
        <v>/paket/ablieferung/provenienz/archivischeNotiz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ht="16.8" x14ac:dyDescent="0.4">
      <c r="A32" t="str">
        <f t="shared" si="7"/>
        <v>/paket/ablieferung/provenienz</v>
      </c>
      <c r="B32" s="1" t="s">
        <v>171</v>
      </c>
      <c r="C32" s="1"/>
      <c r="D32" s="1"/>
      <c r="E32" s="1" t="s">
        <v>222</v>
      </c>
      <c r="F32" s="4" t="e">
        <f t="shared" si="5"/>
        <v>#VALUE!</v>
      </c>
      <c r="G32" t="str">
        <f t="shared" si="1"/>
        <v>/paket/ablieferung/provenienz/registratur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ht="16.8" x14ac:dyDescent="0.4">
      <c r="A33" t="str">
        <f t="shared" si="7"/>
        <v>/paket/ablieferung/provenienz</v>
      </c>
      <c r="B33" s="1" t="s">
        <v>172</v>
      </c>
      <c r="C33" s="1"/>
      <c r="D33" s="1"/>
      <c r="E33" s="1" t="s">
        <v>222</v>
      </c>
      <c r="F33" s="4" t="e">
        <f t="shared" si="5"/>
        <v>#VALUE!</v>
      </c>
      <c r="G33" t="str">
        <f t="shared" si="1"/>
        <v>/paket/ablieferung/provenienz/verwandteSysteme</v>
      </c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ht="16.8" x14ac:dyDescent="0.4">
      <c r="A34" t="str">
        <f t="shared" si="7"/>
        <v>/paket/ablieferung/provenienz</v>
      </c>
      <c r="B34" s="1" t="s">
        <v>173</v>
      </c>
      <c r="C34" s="1"/>
      <c r="D34" s="1"/>
      <c r="E34" s="1" t="s">
        <v>222</v>
      </c>
      <c r="F34" s="4" t="e">
        <f t="shared" si="5"/>
        <v>#VALUE!</v>
      </c>
      <c r="G34" t="str">
        <f t="shared" si="1"/>
        <v>/paket/ablieferung/provenienz/archivierungsmodusLoeschvorschriften</v>
      </c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ht="16.8" x14ac:dyDescent="0.4">
      <c r="A35" t="str">
        <f t="shared" si="7"/>
        <v>/paket/ablieferung/provenienz</v>
      </c>
      <c r="B35" s="1" t="s">
        <v>56</v>
      </c>
      <c r="C35" s="1"/>
      <c r="D35" s="1"/>
      <c r="E35" s="1" t="s">
        <v>222</v>
      </c>
      <c r="F35" s="4" t="e">
        <f t="shared" si="5"/>
        <v>#VALUE!</v>
      </c>
      <c r="G35" t="str">
        <f t="shared" si="1"/>
        <v>/paket/ablieferung/provenienz/archivischeNotiz</v>
      </c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ht="16.8" x14ac:dyDescent="0.4">
      <c r="A36" t="str">
        <f t="shared" si="6"/>
        <v>/paket/ablieferung</v>
      </c>
      <c r="B36" s="1" t="s">
        <v>29</v>
      </c>
      <c r="F36" s="4" t="e">
        <f t="shared" si="5"/>
        <v>#VALUE!</v>
      </c>
      <c r="G36" t="str">
        <f t="shared" si="1"/>
        <v>/paket/ablieferung/ordnungssystem</v>
      </c>
    </row>
    <row r="37" spans="1:27" ht="16.8" x14ac:dyDescent="0.4">
      <c r="A37" t="str">
        <f t="shared" si="6"/>
        <v>/paket/ablieferung</v>
      </c>
      <c r="B37" s="1" t="s">
        <v>26</v>
      </c>
      <c r="F37" s="4" t="e">
        <f t="shared" si="5"/>
        <v>#VALUE!</v>
      </c>
      <c r="G37" t="str">
        <f t="shared" si="1"/>
        <v>/paket/ablieferung/provenienz</v>
      </c>
    </row>
    <row r="38" spans="1:27" ht="16.8" x14ac:dyDescent="0.4">
      <c r="A38" t="str">
        <f t="shared" si="6"/>
        <v>/paket/ablieferung</v>
      </c>
      <c r="B38" s="1" t="s">
        <v>29</v>
      </c>
      <c r="F38" s="4" t="e">
        <f t="shared" si="5"/>
        <v>#VALUE!</v>
      </c>
      <c r="G38" t="str">
        <f t="shared" si="1"/>
        <v>/paket/ablieferung/ordnungssystem</v>
      </c>
    </row>
    <row r="39" spans="1:27" ht="16.8" x14ac:dyDescent="0.4">
      <c r="A39" t="str">
        <f t="shared" si="6"/>
        <v>/paket/ablieferung</v>
      </c>
      <c r="B39" s="1" t="s">
        <v>40</v>
      </c>
      <c r="F39" s="4" t="e">
        <f t="shared" si="5"/>
        <v>#VALUE!</v>
      </c>
      <c r="G39" t="str">
        <f t="shared" si="1"/>
        <v>/paket/ablieferung/mappe</v>
      </c>
    </row>
    <row r="40" spans="1:27" ht="16.8" x14ac:dyDescent="0.4">
      <c r="A40" t="str">
        <f>+G39</f>
        <v>/paket/ablieferung/mappe</v>
      </c>
      <c r="B40" t="s">
        <v>190</v>
      </c>
      <c r="E40" t="s">
        <v>223</v>
      </c>
      <c r="F40" s="4" t="e">
        <f>PROPER(Umlaut(FixSpacing(B40),0))&amp;IF(C40="",""," "&amp;C40)</f>
        <v>#VALUE!</v>
      </c>
      <c r="G40" t="str">
        <f t="shared" si="1"/>
        <v>/paket/ablieferung/mappe/uniqueDateiRefAblieferungMappeFiles</v>
      </c>
    </row>
    <row r="41" spans="1:27" ht="16.8" x14ac:dyDescent="0.4">
      <c r="A41" t="str">
        <f t="shared" si="6"/>
        <v>/paket/ablieferung</v>
      </c>
      <c r="B41" t="s">
        <v>29</v>
      </c>
      <c r="F41" s="4" t="e">
        <f t="shared" ref="F41:F72" si="9">PROPER(Umlaut(FixSpacing(B41),1))&amp;IF(C41="",""," "&amp;C41)</f>
        <v>#VALUE!</v>
      </c>
      <c r="G41" t="str">
        <f t="shared" si="1"/>
        <v>/paket/ablieferung/ordnungssystem</v>
      </c>
    </row>
    <row r="42" spans="1:27" ht="16.8" x14ac:dyDescent="0.4">
      <c r="A42" t="str">
        <f>G$41</f>
        <v>/paket/ablieferung/ordnungssystem</v>
      </c>
      <c r="B42" s="1" t="s">
        <v>70</v>
      </c>
      <c r="E42" t="s">
        <v>221</v>
      </c>
      <c r="F42" s="4" t="e">
        <f t="shared" si="9"/>
        <v>#VALUE!</v>
      </c>
      <c r="G42" t="str">
        <f t="shared" si="1"/>
        <v>/paket/ablieferung/ordnungssystem/generation</v>
      </c>
    </row>
    <row r="43" spans="1:27" ht="16.8" x14ac:dyDescent="0.4">
      <c r="A43" t="str">
        <f t="shared" ref="A43:A49" si="10">G$41</f>
        <v>/paket/ablieferung/ordnungssystem</v>
      </c>
      <c r="B43" s="1" t="s">
        <v>71</v>
      </c>
      <c r="C43" t="s">
        <v>216</v>
      </c>
      <c r="D43" t="s">
        <v>98</v>
      </c>
      <c r="E43" t="s">
        <v>221</v>
      </c>
      <c r="F43" s="4" t="e">
        <f t="shared" si="9"/>
        <v>#VALUE!</v>
      </c>
      <c r="G43" t="str">
        <f t="shared" si="1"/>
        <v>/paket/ablieferung/ordnungssystem/anwendungszeitraum/von/datum</v>
      </c>
    </row>
    <row r="44" spans="1:27" ht="16.8" x14ac:dyDescent="0.4">
      <c r="A44" t="str">
        <f t="shared" si="10"/>
        <v>/paket/ablieferung/ordnungssystem</v>
      </c>
      <c r="B44" s="1" t="s">
        <v>71</v>
      </c>
      <c r="C44" t="s">
        <v>217</v>
      </c>
      <c r="D44" t="s">
        <v>98</v>
      </c>
      <c r="E44" t="s">
        <v>221</v>
      </c>
      <c r="F44" s="4" t="e">
        <f t="shared" si="9"/>
        <v>#VALUE!</v>
      </c>
      <c r="G44" t="str">
        <f t="shared" si="1"/>
        <v>/paket/ablieferung/ordnungssystem/anwendungszeitraum/bis/datum</v>
      </c>
    </row>
    <row r="45" spans="1:27" ht="16.8" x14ac:dyDescent="0.4">
      <c r="A45" t="str">
        <f t="shared" si="10"/>
        <v>/paket/ablieferung/ordnungssystem</v>
      </c>
      <c r="B45" s="1" t="s">
        <v>72</v>
      </c>
      <c r="E45" t="s">
        <v>221</v>
      </c>
      <c r="F45" s="4" t="e">
        <f t="shared" si="9"/>
        <v>#VALUE!</v>
      </c>
      <c r="G45" t="str">
        <f t="shared" si="1"/>
        <v>/paket/ablieferung/ordnungssystem/mitbenutzung</v>
      </c>
    </row>
    <row r="46" spans="1:27" ht="16.8" x14ac:dyDescent="0.4">
      <c r="A46" t="str">
        <f t="shared" si="10"/>
        <v>/paket/ablieferung/ordnungssystem</v>
      </c>
      <c r="B46" s="1" t="s">
        <v>64</v>
      </c>
      <c r="E46" t="s">
        <v>221</v>
      </c>
      <c r="F46" s="4" t="e">
        <f t="shared" si="9"/>
        <v>#VALUE!</v>
      </c>
      <c r="G46" t="str">
        <f t="shared" si="1"/>
        <v>/paket/ablieferung/ordnungssystem/bemerkung</v>
      </c>
    </row>
    <row r="47" spans="1:27" ht="16.8" x14ac:dyDescent="0.4">
      <c r="A47" t="str">
        <f t="shared" si="10"/>
        <v>/paket/ablieferung/ordnungssystem</v>
      </c>
      <c r="B47" s="1" t="s">
        <v>59</v>
      </c>
      <c r="E47" t="s">
        <v>221</v>
      </c>
      <c r="F47" s="4" t="e">
        <f t="shared" si="9"/>
        <v>#VALUE!</v>
      </c>
      <c r="G47" t="str">
        <f t="shared" si="1"/>
        <v>/paket/ablieferung/ordnungssystem/zusatzDaten</v>
      </c>
    </row>
    <row r="48" spans="1:27" ht="16.8" x14ac:dyDescent="0.4">
      <c r="A48" t="str">
        <f t="shared" si="10"/>
        <v>/paket/ablieferung/ordnungssystem</v>
      </c>
      <c r="B48" s="1" t="s">
        <v>1</v>
      </c>
      <c r="E48" t="s">
        <v>221</v>
      </c>
      <c r="F48" s="4" t="e">
        <f t="shared" si="9"/>
        <v>#VALUE!</v>
      </c>
      <c r="G48" t="str">
        <f t="shared" si="1"/>
        <v>/paket/ablieferung/ordnungssystem/name</v>
      </c>
    </row>
    <row r="49" spans="1:7" ht="16.8" x14ac:dyDescent="0.4">
      <c r="A49" t="str">
        <f t="shared" si="10"/>
        <v>/paket/ablieferung/ordnungssystem</v>
      </c>
      <c r="B49" s="1" t="s">
        <v>32</v>
      </c>
      <c r="E49" t="s">
        <v>221</v>
      </c>
      <c r="F49" s="4" t="e">
        <f t="shared" si="9"/>
        <v>#VALUE!</v>
      </c>
      <c r="G49" t="str">
        <f t="shared" si="1"/>
        <v>/paket/ablieferung/ordnungssystem/ordnungssystemposition</v>
      </c>
    </row>
    <row r="50" spans="1:7" ht="16.8" x14ac:dyDescent="0.4">
      <c r="A50" t="str">
        <f>G$49</f>
        <v>/paket/ablieferung/ordnungssystem/ordnungssystemposition</v>
      </c>
      <c r="B50" s="1" t="s">
        <v>73</v>
      </c>
      <c r="E50" t="s">
        <v>221</v>
      </c>
      <c r="F50" s="4" t="e">
        <f t="shared" si="9"/>
        <v>#VALUE!</v>
      </c>
      <c r="G50" t="str">
        <f t="shared" si="1"/>
        <v>/paket/ablieferung/ordnungssystem/ordnungssystemposition/federfuehrendeOrganisationseinheit</v>
      </c>
    </row>
    <row r="51" spans="1:7" ht="16.8" x14ac:dyDescent="0.4">
      <c r="A51" t="str">
        <f t="shared" ref="A51:A111" si="11">G$49</f>
        <v>/paket/ablieferung/ordnungssystem/ordnungssystemposition</v>
      </c>
      <c r="B51" s="1" t="s">
        <v>74</v>
      </c>
      <c r="E51" t="s">
        <v>221</v>
      </c>
      <c r="F51" s="4" t="e">
        <f t="shared" si="9"/>
        <v>#VALUE!</v>
      </c>
      <c r="G51" t="str">
        <f t="shared" si="1"/>
        <v>/paket/ablieferung/ordnungssystem/ordnungssystemposition/klassifizierungskategorie</v>
      </c>
    </row>
    <row r="52" spans="1:7" ht="16.8" x14ac:dyDescent="0.4">
      <c r="A52" t="str">
        <f t="shared" si="11"/>
        <v>/paket/ablieferung/ordnungssystem/ordnungssystemposition</v>
      </c>
      <c r="B52" s="1" t="s">
        <v>75</v>
      </c>
      <c r="E52" t="s">
        <v>221</v>
      </c>
      <c r="F52" s="4" t="e">
        <f t="shared" si="9"/>
        <v>#VALUE!</v>
      </c>
      <c r="G52" t="str">
        <f t="shared" si="1"/>
        <v>/paket/ablieferung/ordnungssystem/ordnungssystemposition/datenschutz</v>
      </c>
    </row>
    <row r="53" spans="1:7" ht="16.8" x14ac:dyDescent="0.4">
      <c r="A53" t="str">
        <f t="shared" si="11"/>
        <v>/paket/ablieferung/ordnungssystem/ordnungssystemposition</v>
      </c>
      <c r="B53" s="1" t="s">
        <v>76</v>
      </c>
      <c r="E53" t="s">
        <v>221</v>
      </c>
      <c r="F53" s="4" t="e">
        <f t="shared" si="9"/>
        <v>#VALUE!</v>
      </c>
      <c r="G53" t="str">
        <f t="shared" si="1"/>
        <v>/paket/ablieferung/ordnungssystem/ordnungssystemposition/oeffentlichkeitsstatus</v>
      </c>
    </row>
    <row r="54" spans="1:7" ht="16.8" x14ac:dyDescent="0.4">
      <c r="A54" t="str">
        <f t="shared" si="11"/>
        <v>/paket/ablieferung/ordnungssystem/ordnungssystemposition</v>
      </c>
      <c r="B54" s="1" t="s">
        <v>77</v>
      </c>
      <c r="E54" t="s">
        <v>221</v>
      </c>
      <c r="F54" s="4" t="e">
        <f t="shared" si="9"/>
        <v>#VALUE!</v>
      </c>
      <c r="G54" t="str">
        <f t="shared" si="1"/>
        <v>/paket/ablieferung/ordnungssystem/ordnungssystemposition/oeffentlichkeitsstatusBegruendung</v>
      </c>
    </row>
    <row r="55" spans="1:7" ht="16.8" x14ac:dyDescent="0.4">
      <c r="A55" t="str">
        <f t="shared" si="11"/>
        <v>/paket/ablieferung/ordnungssystem/ordnungssystemposition</v>
      </c>
      <c r="B55" s="1" t="s">
        <v>78</v>
      </c>
      <c r="E55" t="s">
        <v>221</v>
      </c>
      <c r="F55" s="4" t="e">
        <f t="shared" si="9"/>
        <v>#VALUE!</v>
      </c>
      <c r="G55" t="str">
        <f t="shared" si="1"/>
        <v>/paket/ablieferung/ordnungssystem/ordnungssystemposition/sonstigeBestimmungen</v>
      </c>
    </row>
    <row r="56" spans="1:7" ht="16.8" x14ac:dyDescent="0.4">
      <c r="A56" t="str">
        <f t="shared" si="11"/>
        <v>/paket/ablieferung/ordnungssystem/ordnungssystemposition</v>
      </c>
      <c r="B56" s="1" t="s">
        <v>59</v>
      </c>
      <c r="E56" t="s">
        <v>221</v>
      </c>
      <c r="F56" s="4" t="e">
        <f t="shared" si="9"/>
        <v>#VALUE!</v>
      </c>
      <c r="G56" t="str">
        <f t="shared" si="1"/>
        <v>/paket/ablieferung/ordnungssystem/ordnungssystemposition/zusatzDaten</v>
      </c>
    </row>
    <row r="57" spans="1:7" ht="16.8" x14ac:dyDescent="0.4">
      <c r="A57" t="str">
        <f t="shared" si="11"/>
        <v>/paket/ablieferung/ordnungssystem/ordnungssystemposition</v>
      </c>
      <c r="B57" s="1" t="s">
        <v>174</v>
      </c>
      <c r="E57" t="s">
        <v>221</v>
      </c>
      <c r="F57" s="4" t="e">
        <f t="shared" si="9"/>
        <v>#VALUE!</v>
      </c>
      <c r="G57" t="str">
        <f t="shared" si="1"/>
        <v>/paket/ablieferung/ordnungssystem/ordnungssystemposition/nummer</v>
      </c>
    </row>
    <row r="58" spans="1:7" ht="16.8" x14ac:dyDescent="0.4">
      <c r="A58" t="str">
        <f t="shared" si="11"/>
        <v>/paket/ablieferung/ordnungssystem/ordnungssystemposition</v>
      </c>
      <c r="B58" s="1" t="s">
        <v>80</v>
      </c>
      <c r="E58" t="s">
        <v>221</v>
      </c>
      <c r="F58" s="4" t="e">
        <f t="shared" si="9"/>
        <v>#VALUE!</v>
      </c>
      <c r="G58" t="str">
        <f t="shared" si="1"/>
        <v>/paket/ablieferung/ordnungssystem/ordnungssystemposition/titel</v>
      </c>
    </row>
    <row r="59" spans="1:7" ht="16.8" x14ac:dyDescent="0.4">
      <c r="A59" t="str">
        <f t="shared" si="11"/>
        <v>/paket/ablieferung/ordnungssystem/ordnungssystemposition</v>
      </c>
      <c r="B59" s="1" t="s">
        <v>169</v>
      </c>
      <c r="E59" t="s">
        <v>221</v>
      </c>
      <c r="F59" s="4" t="e">
        <f t="shared" si="9"/>
        <v>#VALUE!</v>
      </c>
      <c r="G59" t="str">
        <f t="shared" si="1"/>
        <v>/paket/ablieferung/ordnungssystem/ordnungssystemposition/schutzfristenkategorie</v>
      </c>
    </row>
    <row r="60" spans="1:7" ht="16.8" x14ac:dyDescent="0.4">
      <c r="A60" t="str">
        <f t="shared" si="11"/>
        <v>/paket/ablieferung/ordnungssystem/ordnungssystemposition</v>
      </c>
      <c r="B60" s="1" t="s">
        <v>170</v>
      </c>
      <c r="E60" t="s">
        <v>221</v>
      </c>
      <c r="F60" s="4" t="e">
        <f t="shared" si="9"/>
        <v>#VALUE!</v>
      </c>
      <c r="G60" t="str">
        <f t="shared" si="1"/>
        <v>/paket/ablieferung/ordnungssystem/ordnungssystemposition/schutzfrist</v>
      </c>
    </row>
    <row r="61" spans="1:7" ht="16.8" x14ac:dyDescent="0.4">
      <c r="A61" t="str">
        <f t="shared" si="11"/>
        <v>/paket/ablieferung/ordnungssystem/ordnungssystemposition</v>
      </c>
      <c r="B61" s="1" t="s">
        <v>175</v>
      </c>
      <c r="E61" t="s">
        <v>221</v>
      </c>
      <c r="F61" s="4" t="e">
        <f t="shared" si="9"/>
        <v>#VALUE!</v>
      </c>
      <c r="G61" t="str">
        <f t="shared" si="1"/>
        <v>/paket/ablieferung/ordnungssystem/ordnungssystemposition/schutzfristenBegruendung</v>
      </c>
    </row>
    <row r="62" spans="1:7" ht="16.8" x14ac:dyDescent="0.4">
      <c r="A62" t="str">
        <f t="shared" si="11"/>
        <v>/paket/ablieferung/ordnungssystem/ordnungssystemposition</v>
      </c>
      <c r="B62" s="1" t="s">
        <v>32</v>
      </c>
      <c r="E62" t="s">
        <v>221</v>
      </c>
      <c r="F62" s="4" t="e">
        <f t="shared" si="9"/>
        <v>#VALUE!</v>
      </c>
      <c r="G62" t="str">
        <f t="shared" si="1"/>
        <v>/paket/ablieferung/ordnungssystem/ordnungssystemposition/ordnungssystemposition</v>
      </c>
    </row>
    <row r="63" spans="1:7" ht="16.8" x14ac:dyDescent="0.4">
      <c r="A63" t="str">
        <f t="shared" si="11"/>
        <v>/paket/ablieferung/ordnungssystem/ordnungssystemposition</v>
      </c>
      <c r="B63" s="1" t="s">
        <v>35</v>
      </c>
      <c r="E63" t="s">
        <v>221</v>
      </c>
      <c r="F63" s="4" t="e">
        <f t="shared" si="9"/>
        <v>#VALUE!</v>
      </c>
      <c r="G63" t="str">
        <f t="shared" si="1"/>
        <v>/paket/ablieferung/ordnungssystem/ordnungssystemposition/dossier</v>
      </c>
    </row>
    <row r="64" spans="1:7" ht="16.8" x14ac:dyDescent="0.4">
      <c r="A64" t="str">
        <f>G$63</f>
        <v>/paket/ablieferung/ordnungssystem/ordnungssystemposition/dossier</v>
      </c>
      <c r="B64" s="1" t="s">
        <v>79</v>
      </c>
      <c r="E64" t="s">
        <v>226</v>
      </c>
      <c r="F64" s="4" t="e">
        <f t="shared" si="9"/>
        <v>#VALUE!</v>
      </c>
      <c r="G64" t="str">
        <f t="shared" si="1"/>
        <v>/paket/ablieferung/ordnungssystem/ordnungssystemposition/dossier/zusatzmerkmal</v>
      </c>
    </row>
    <row r="65" spans="1:7" ht="16.8" x14ac:dyDescent="0.4">
      <c r="A65" t="str">
        <f t="shared" ref="A65:A100" si="12">G$63</f>
        <v>/paket/ablieferung/ordnungssystem/ordnungssystemposition/dossier</v>
      </c>
      <c r="B65" s="1" t="s">
        <v>80</v>
      </c>
      <c r="E65" t="s">
        <v>226</v>
      </c>
      <c r="F65" s="4" t="e">
        <f t="shared" si="9"/>
        <v>#VALUE!</v>
      </c>
      <c r="G65" t="str">
        <f t="shared" si="1"/>
        <v>/paket/ablieferung/ordnungssystem/ordnungssystemposition/dossier/titel</v>
      </c>
    </row>
    <row r="66" spans="1:7" ht="16.8" x14ac:dyDescent="0.4">
      <c r="A66" t="str">
        <f t="shared" si="12"/>
        <v>/paket/ablieferung/ordnungssystem/ordnungssystemposition/dossier</v>
      </c>
      <c r="B66" s="1" t="s">
        <v>81</v>
      </c>
      <c r="E66" t="s">
        <v>226</v>
      </c>
      <c r="F66" s="4" t="e">
        <f t="shared" si="9"/>
        <v>#VALUE!</v>
      </c>
      <c r="G66" t="str">
        <f t="shared" si="1"/>
        <v>/paket/ablieferung/ordnungssystem/ordnungssystemposition/dossier/inhalt</v>
      </c>
    </row>
    <row r="67" spans="1:7" ht="16.8" x14ac:dyDescent="0.4">
      <c r="A67" t="str">
        <f t="shared" si="12"/>
        <v>/paket/ablieferung/ordnungssystem/ordnungssystemposition/dossier</v>
      </c>
      <c r="B67" s="1" t="s">
        <v>82</v>
      </c>
      <c r="E67" t="s">
        <v>226</v>
      </c>
      <c r="F67" s="4" t="e">
        <f t="shared" si="9"/>
        <v>#VALUE!</v>
      </c>
      <c r="G67" t="str">
        <f t="shared" si="1"/>
        <v>/paket/ablieferung/ordnungssystem/ordnungssystemposition/dossier/formInhalt</v>
      </c>
    </row>
    <row r="68" spans="1:7" ht="16.8" x14ac:dyDescent="0.4">
      <c r="A68" t="str">
        <f t="shared" si="12"/>
        <v>/paket/ablieferung/ordnungssystem/ordnungssystemposition/dossier</v>
      </c>
      <c r="B68" s="1" t="s">
        <v>83</v>
      </c>
      <c r="E68" t="s">
        <v>226</v>
      </c>
      <c r="F68" s="4" t="e">
        <f t="shared" si="9"/>
        <v>#VALUE!</v>
      </c>
      <c r="G68" t="str">
        <f t="shared" si="1"/>
        <v>/paket/ablieferung/ordnungssystem/ordnungssystemposition/dossier/erscheinungsform</v>
      </c>
    </row>
    <row r="69" spans="1:7" ht="16.8" x14ac:dyDescent="0.4">
      <c r="A69" t="str">
        <f t="shared" si="12"/>
        <v>/paket/ablieferung/ordnungssystem/ordnungssystemposition/dossier</v>
      </c>
      <c r="B69" s="1" t="s">
        <v>73</v>
      </c>
      <c r="E69" t="s">
        <v>226</v>
      </c>
      <c r="F69" s="4" t="e">
        <f t="shared" si="9"/>
        <v>#VALUE!</v>
      </c>
      <c r="G69" t="str">
        <f t="shared" si="1"/>
        <v>/paket/ablieferung/ordnungssystem/ordnungssystemposition/dossier/federfuehrendeOrganisationseinheit</v>
      </c>
    </row>
    <row r="70" spans="1:7" ht="16.8" x14ac:dyDescent="0.4">
      <c r="A70" t="str">
        <f t="shared" si="12"/>
        <v>/paket/ablieferung/ordnungssystem/ordnungssystemposition/dossier</v>
      </c>
      <c r="B70" s="1" t="s">
        <v>62</v>
      </c>
      <c r="C70" t="s">
        <v>216</v>
      </c>
      <c r="D70" t="s">
        <v>98</v>
      </c>
      <c r="E70" t="s">
        <v>226</v>
      </c>
      <c r="F70" s="4" t="e">
        <f t="shared" si="9"/>
        <v>#VALUE!</v>
      </c>
      <c r="G70" t="str">
        <f t="shared" ref="G70:G114" si="13">A70&amp;$A$2&amp;B70&amp;IF(C70="","",$A$2&amp;C70)&amp;IF(D70="","",$A$2&amp;D70)</f>
        <v>/paket/ablieferung/ordnungssystem/ordnungssystemposition/dossier/entstehungszeitraum/von/datum</v>
      </c>
    </row>
    <row r="71" spans="1:7" ht="16.8" x14ac:dyDescent="0.4">
      <c r="A71" t="str">
        <f t="shared" si="12"/>
        <v>/paket/ablieferung/ordnungssystem/ordnungssystemposition/dossier</v>
      </c>
      <c r="B71" s="1" t="s">
        <v>62</v>
      </c>
      <c r="C71" t="s">
        <v>217</v>
      </c>
      <c r="D71" t="s">
        <v>98</v>
      </c>
      <c r="E71" t="s">
        <v>226</v>
      </c>
      <c r="F71" s="4" t="e">
        <f t="shared" si="9"/>
        <v>#VALUE!</v>
      </c>
      <c r="G71" t="str">
        <f t="shared" si="13"/>
        <v>/paket/ablieferung/ordnungssystem/ordnungssystemposition/dossier/entstehungszeitraum/bis/datum</v>
      </c>
    </row>
    <row r="72" spans="1:7" ht="16.8" x14ac:dyDescent="0.4">
      <c r="A72" t="str">
        <f t="shared" si="12"/>
        <v>/paket/ablieferung/ordnungssystem/ordnungssystemposition/dossier</v>
      </c>
      <c r="B72" s="1" t="s">
        <v>84</v>
      </c>
      <c r="E72" t="s">
        <v>226</v>
      </c>
      <c r="F72" s="4" t="e">
        <f t="shared" si="9"/>
        <v>#VALUE!</v>
      </c>
      <c r="G72" t="str">
        <f t="shared" si="13"/>
        <v>/paket/ablieferung/ordnungssystem/ordnungssystemposition/dossier/entstehungszeitraumAnmerkung</v>
      </c>
    </row>
    <row r="73" spans="1:7" ht="16.8" x14ac:dyDescent="0.4">
      <c r="A73" t="str">
        <f t="shared" si="12"/>
        <v>/paket/ablieferung/ordnungssystem/ordnungssystemposition/dossier</v>
      </c>
      <c r="B73" s="1" t="s">
        <v>74</v>
      </c>
      <c r="E73" t="s">
        <v>226</v>
      </c>
      <c r="F73" s="4" t="e">
        <f t="shared" ref="F73:F104" si="14">PROPER(Umlaut(FixSpacing(B73),1))&amp;IF(C73="",""," "&amp;C73)</f>
        <v>#VALUE!</v>
      </c>
      <c r="G73" t="str">
        <f t="shared" si="13"/>
        <v>/paket/ablieferung/ordnungssystem/ordnungssystemposition/dossier/klassifizierungskategorie</v>
      </c>
    </row>
    <row r="74" spans="1:7" ht="16.8" x14ac:dyDescent="0.4">
      <c r="A74" t="str">
        <f t="shared" si="12"/>
        <v>/paket/ablieferung/ordnungssystem/ordnungssystemposition/dossier</v>
      </c>
      <c r="B74" s="1" t="s">
        <v>75</v>
      </c>
      <c r="E74" t="s">
        <v>226</v>
      </c>
      <c r="F74" s="4" t="e">
        <f t="shared" si="14"/>
        <v>#VALUE!</v>
      </c>
      <c r="G74" t="str">
        <f t="shared" si="13"/>
        <v>/paket/ablieferung/ordnungssystem/ordnungssystemposition/dossier/datenschutz</v>
      </c>
    </row>
    <row r="75" spans="1:7" ht="16.8" x14ac:dyDescent="0.4">
      <c r="A75" t="str">
        <f t="shared" si="12"/>
        <v>/paket/ablieferung/ordnungssystem/ordnungssystemposition/dossier</v>
      </c>
      <c r="B75" s="1" t="s">
        <v>76</v>
      </c>
      <c r="E75" t="s">
        <v>226</v>
      </c>
      <c r="F75" s="4" t="e">
        <f t="shared" si="14"/>
        <v>#VALUE!</v>
      </c>
      <c r="G75" t="str">
        <f t="shared" si="13"/>
        <v>/paket/ablieferung/ordnungssystem/ordnungssystemposition/dossier/oeffentlichkeitsstatus</v>
      </c>
    </row>
    <row r="76" spans="1:7" ht="16.8" x14ac:dyDescent="0.4">
      <c r="A76" t="str">
        <f t="shared" si="12"/>
        <v>/paket/ablieferung/ordnungssystem/ordnungssystemposition/dossier</v>
      </c>
      <c r="B76" s="1" t="s">
        <v>77</v>
      </c>
      <c r="E76" t="s">
        <v>226</v>
      </c>
      <c r="F76" s="4" t="e">
        <f t="shared" si="14"/>
        <v>#VALUE!</v>
      </c>
      <c r="G76" t="str">
        <f t="shared" si="13"/>
        <v>/paket/ablieferung/ordnungssystem/ordnungssystemposition/dossier/oeffentlichkeitsstatusBegruendung</v>
      </c>
    </row>
    <row r="77" spans="1:7" ht="16.8" x14ac:dyDescent="0.4">
      <c r="A77" t="str">
        <f t="shared" si="12"/>
        <v>/paket/ablieferung/ordnungssystem/ordnungssystemposition/dossier</v>
      </c>
      <c r="B77" s="1" t="s">
        <v>78</v>
      </c>
      <c r="E77" t="s">
        <v>226</v>
      </c>
      <c r="F77" s="4" t="e">
        <f t="shared" si="14"/>
        <v>#VALUE!</v>
      </c>
      <c r="G77" t="str">
        <f t="shared" si="13"/>
        <v>/paket/ablieferung/ordnungssystem/ordnungssystemposition/dossier/sonstigeBestimmungen</v>
      </c>
    </row>
    <row r="78" spans="1:7" ht="16.8" x14ac:dyDescent="0.4">
      <c r="A78" t="str">
        <f t="shared" si="12"/>
        <v>/paket/ablieferung/ordnungssystem/ordnungssystemposition/dossier</v>
      </c>
      <c r="B78" s="1" t="s">
        <v>64</v>
      </c>
      <c r="E78" t="s">
        <v>226</v>
      </c>
      <c r="F78" s="4" t="e">
        <f t="shared" si="14"/>
        <v>#VALUE!</v>
      </c>
      <c r="G78" t="str">
        <f t="shared" si="13"/>
        <v>/paket/ablieferung/ordnungssystem/ordnungssystemposition/dossier/bemerkung</v>
      </c>
    </row>
    <row r="79" spans="1:7" ht="16.8" x14ac:dyDescent="0.4">
      <c r="A79" t="str">
        <f t="shared" si="12"/>
        <v>/paket/ablieferung/ordnungssystem/ordnungssystemposition/dossier</v>
      </c>
      <c r="B79" s="1" t="s">
        <v>59</v>
      </c>
      <c r="E79" t="s">
        <v>226</v>
      </c>
      <c r="F79" s="4" t="e">
        <f t="shared" si="14"/>
        <v>#VALUE!</v>
      </c>
      <c r="G79" t="str">
        <f t="shared" si="13"/>
        <v>/paket/ablieferung/ordnungssystem/ordnungssystemposition/dossier/zusatzDaten</v>
      </c>
    </row>
    <row r="80" spans="1:7" ht="16.8" x14ac:dyDescent="0.4">
      <c r="A80" t="str">
        <f t="shared" si="12"/>
        <v>/paket/ablieferung/ordnungssystem/ordnungssystemposition/dossier</v>
      </c>
      <c r="B80" s="1" t="s">
        <v>176</v>
      </c>
      <c r="E80" t="s">
        <v>226</v>
      </c>
      <c r="F80" s="4" t="e">
        <f t="shared" si="14"/>
        <v>#VALUE!</v>
      </c>
      <c r="G80" t="str">
        <f t="shared" si="13"/>
        <v>/paket/ablieferung/ordnungssystem/ordnungssystemposition/dossier/aktenzeichen</v>
      </c>
    </row>
    <row r="81" spans="1:7" ht="16.8" x14ac:dyDescent="0.4">
      <c r="A81" t="str">
        <f t="shared" si="12"/>
        <v>/paket/ablieferung/ordnungssystem/ordnungssystemposition/dossier</v>
      </c>
      <c r="B81" s="1" t="s">
        <v>88</v>
      </c>
      <c r="E81" t="s">
        <v>226</v>
      </c>
      <c r="F81" s="4" t="e">
        <f t="shared" si="14"/>
        <v>#VALUE!</v>
      </c>
      <c r="G81" t="str">
        <f t="shared" si="13"/>
        <v>/paket/ablieferung/ordnungssystem/ordnungssystemposition/dossier/eroeffnungsdatum</v>
      </c>
    </row>
    <row r="82" spans="1:7" ht="16.8" x14ac:dyDescent="0.4">
      <c r="A82" t="str">
        <f t="shared" si="12"/>
        <v>/paket/ablieferung/ordnungssystem/ordnungssystemposition/dossier</v>
      </c>
      <c r="B82" s="1" t="s">
        <v>145</v>
      </c>
      <c r="E82" t="s">
        <v>226</v>
      </c>
      <c r="F82" s="4" t="e">
        <f t="shared" si="14"/>
        <v>#VALUE!</v>
      </c>
      <c r="G82" t="str">
        <f t="shared" si="13"/>
        <v>/paket/ablieferung/ordnungssystem/ordnungssystemposition/dossier/abschlussdatum</v>
      </c>
    </row>
    <row r="83" spans="1:7" ht="16.8" x14ac:dyDescent="0.4">
      <c r="A83" t="str">
        <f t="shared" si="12"/>
        <v>/paket/ablieferung/ordnungssystem/ordnungssystemposition/dossier</v>
      </c>
      <c r="B83" s="1" t="s">
        <v>177</v>
      </c>
      <c r="E83" t="s">
        <v>226</v>
      </c>
      <c r="F83" s="4" t="e">
        <f t="shared" si="14"/>
        <v>#VALUE!</v>
      </c>
      <c r="G83" t="str">
        <f t="shared" si="13"/>
        <v>/paket/ablieferung/ordnungssystem/ordnungssystemposition/dossier/vorgang</v>
      </c>
    </row>
    <row r="84" spans="1:7" ht="16.8" x14ac:dyDescent="0.4">
      <c r="A84" t="str">
        <f t="shared" si="12"/>
        <v>/paket/ablieferung/ordnungssystem/ordnungssystemposition/dossier</v>
      </c>
      <c r="B84" s="1" t="s">
        <v>169</v>
      </c>
      <c r="E84" t="s">
        <v>226</v>
      </c>
      <c r="F84" s="4" t="e">
        <f t="shared" si="14"/>
        <v>#VALUE!</v>
      </c>
      <c r="G84" t="str">
        <f t="shared" si="13"/>
        <v>/paket/ablieferung/ordnungssystem/ordnungssystemposition/dossier/schutzfristenkategorie</v>
      </c>
    </row>
    <row r="85" spans="1:7" ht="16.8" x14ac:dyDescent="0.4">
      <c r="A85" t="str">
        <f t="shared" si="12"/>
        <v>/paket/ablieferung/ordnungssystem/ordnungssystemposition/dossier</v>
      </c>
      <c r="B85" s="1" t="s">
        <v>170</v>
      </c>
      <c r="E85" t="s">
        <v>226</v>
      </c>
      <c r="F85" s="4" t="e">
        <f t="shared" si="14"/>
        <v>#VALUE!</v>
      </c>
      <c r="G85" t="str">
        <f t="shared" si="13"/>
        <v>/paket/ablieferung/ordnungssystem/ordnungssystemposition/dossier/schutzfrist</v>
      </c>
    </row>
    <row r="86" spans="1:7" ht="16.8" x14ac:dyDescent="0.4">
      <c r="A86" t="str">
        <f t="shared" si="12"/>
        <v>/paket/ablieferung/ordnungssystem/ordnungssystemposition/dossier</v>
      </c>
      <c r="B86" s="1" t="s">
        <v>175</v>
      </c>
      <c r="E86" t="s">
        <v>226</v>
      </c>
      <c r="F86" s="4" t="e">
        <f t="shared" si="14"/>
        <v>#VALUE!</v>
      </c>
      <c r="G86" t="str">
        <f t="shared" si="13"/>
        <v>/paket/ablieferung/ordnungssystem/ordnungssystemposition/dossier/schutzfristenBegruendung</v>
      </c>
    </row>
    <row r="87" spans="1:7" ht="16.8" x14ac:dyDescent="0.4">
      <c r="A87" t="str">
        <f t="shared" si="12"/>
        <v>/paket/ablieferung/ordnungssystem/ordnungssystemposition/dossier</v>
      </c>
      <c r="B87" s="1" t="s">
        <v>35</v>
      </c>
      <c r="E87" t="s">
        <v>226</v>
      </c>
      <c r="F87" s="4" t="e">
        <f t="shared" si="14"/>
        <v>#VALUE!</v>
      </c>
      <c r="G87" t="str">
        <f t="shared" si="13"/>
        <v>/paket/ablieferung/ordnungssystem/ordnungssystemposition/dossier/dossier</v>
      </c>
    </row>
    <row r="88" spans="1:7" ht="16.8" x14ac:dyDescent="0.4">
      <c r="A88" t="str">
        <f t="shared" si="12"/>
        <v>/paket/ablieferung/ordnungssystem/ordnungssystemposition/dossier</v>
      </c>
      <c r="B88" s="1" t="s">
        <v>40</v>
      </c>
      <c r="E88" t="s">
        <v>226</v>
      </c>
      <c r="F88" s="4" t="e">
        <f t="shared" si="14"/>
        <v>#VALUE!</v>
      </c>
      <c r="G88" t="str">
        <f t="shared" si="13"/>
        <v>/paket/ablieferung/ordnungssystem/ordnungssystemposition/dossier/mappe</v>
      </c>
    </row>
    <row r="89" spans="1:7" ht="16.8" x14ac:dyDescent="0.4">
      <c r="A89" t="str">
        <f t="shared" si="12"/>
        <v>/paket/ablieferung/ordnungssystem/ordnungssystemposition/dossier</v>
      </c>
      <c r="B89" s="1" t="s">
        <v>47</v>
      </c>
      <c r="E89" t="s">
        <v>226</v>
      </c>
      <c r="F89" s="4" t="e">
        <f t="shared" si="14"/>
        <v>#VALUE!</v>
      </c>
      <c r="G89" t="str">
        <f t="shared" si="13"/>
        <v>/paket/ablieferung/ordnungssystem/ordnungssystemposition/dossier/dokument</v>
      </c>
    </row>
    <row r="90" spans="1:7" ht="16.8" x14ac:dyDescent="0.4">
      <c r="A90" t="str">
        <f t="shared" si="12"/>
        <v>/paket/ablieferung/ordnungssystem/ordnungssystemposition/dossier</v>
      </c>
      <c r="B90" s="1" t="s">
        <v>56</v>
      </c>
      <c r="E90" t="s">
        <v>226</v>
      </c>
      <c r="F90" s="4" t="e">
        <f t="shared" si="14"/>
        <v>#VALUE!</v>
      </c>
      <c r="G90" t="str">
        <f t="shared" si="13"/>
        <v>/paket/ablieferung/ordnungssystem/ordnungssystemposition/dossier/archivischeNotiz</v>
      </c>
    </row>
    <row r="91" spans="1:7" ht="16.8" x14ac:dyDescent="0.4">
      <c r="A91" t="str">
        <f t="shared" si="12"/>
        <v>/paket/ablieferung/ordnungssystem/ordnungssystemposition/dossier</v>
      </c>
      <c r="B91" s="1" t="s">
        <v>176</v>
      </c>
      <c r="E91" t="s">
        <v>226</v>
      </c>
      <c r="F91" s="4" t="e">
        <f t="shared" si="14"/>
        <v>#VALUE!</v>
      </c>
      <c r="G91" t="str">
        <f t="shared" si="13"/>
        <v>/paket/ablieferung/ordnungssystem/ordnungssystemposition/dossier/aktenzeichen</v>
      </c>
    </row>
    <row r="92" spans="1:7" ht="16.8" x14ac:dyDescent="0.4">
      <c r="A92" t="str">
        <f t="shared" si="12"/>
        <v>/paket/ablieferung/ordnungssystem/ordnungssystemposition/dossier</v>
      </c>
      <c r="B92" s="1" t="s">
        <v>169</v>
      </c>
      <c r="E92" t="s">
        <v>226</v>
      </c>
      <c r="F92" s="4" t="e">
        <f t="shared" si="14"/>
        <v>#VALUE!</v>
      </c>
      <c r="G92" t="str">
        <f t="shared" si="13"/>
        <v>/paket/ablieferung/ordnungssystem/ordnungssystemposition/dossier/schutzfristenkategorie</v>
      </c>
    </row>
    <row r="93" spans="1:7" ht="16.8" x14ac:dyDescent="0.4">
      <c r="A93" t="str">
        <f t="shared" si="12"/>
        <v>/paket/ablieferung/ordnungssystem/ordnungssystemposition/dossier</v>
      </c>
      <c r="B93" s="1" t="s">
        <v>170</v>
      </c>
      <c r="E93" t="s">
        <v>226</v>
      </c>
      <c r="F93" s="4" t="e">
        <f t="shared" si="14"/>
        <v>#VALUE!</v>
      </c>
      <c r="G93" t="str">
        <f t="shared" si="13"/>
        <v>/paket/ablieferung/ordnungssystem/ordnungssystemposition/dossier/schutzfrist</v>
      </c>
    </row>
    <row r="94" spans="1:7" ht="16.8" x14ac:dyDescent="0.4">
      <c r="A94" t="str">
        <f t="shared" si="12"/>
        <v>/paket/ablieferung/ordnungssystem/ordnungssystemposition/dossier</v>
      </c>
      <c r="B94" s="1" t="s">
        <v>175</v>
      </c>
      <c r="E94" t="s">
        <v>226</v>
      </c>
      <c r="F94" s="4" t="e">
        <f t="shared" si="14"/>
        <v>#VALUE!</v>
      </c>
      <c r="G94" t="str">
        <f t="shared" si="13"/>
        <v>/paket/ablieferung/ordnungssystem/ordnungssystemposition/dossier/schutzfristenBegruendung</v>
      </c>
    </row>
    <row r="95" spans="1:7" ht="16.8" x14ac:dyDescent="0.4">
      <c r="A95" t="str">
        <f t="shared" si="12"/>
        <v>/paket/ablieferung/ordnungssystem/ordnungssystemposition/dossier</v>
      </c>
      <c r="B95" s="1" t="s">
        <v>35</v>
      </c>
      <c r="E95" t="s">
        <v>226</v>
      </c>
      <c r="F95" s="4" t="e">
        <f t="shared" si="14"/>
        <v>#VALUE!</v>
      </c>
      <c r="G95" t="str">
        <f t="shared" si="13"/>
        <v>/paket/ablieferung/ordnungssystem/ordnungssystemposition/dossier/dossier</v>
      </c>
    </row>
    <row r="96" spans="1:7" ht="16.8" x14ac:dyDescent="0.4">
      <c r="A96" t="str">
        <f t="shared" si="12"/>
        <v>/paket/ablieferung/ordnungssystem/ordnungssystemposition/dossier</v>
      </c>
      <c r="B96" s="1" t="s">
        <v>40</v>
      </c>
      <c r="E96" t="s">
        <v>226</v>
      </c>
      <c r="F96" s="4" t="e">
        <f t="shared" si="14"/>
        <v>#VALUE!</v>
      </c>
      <c r="G96" t="str">
        <f t="shared" si="13"/>
        <v>/paket/ablieferung/ordnungssystem/ordnungssystemposition/dossier/mappe</v>
      </c>
    </row>
    <row r="97" spans="1:7" ht="16.8" x14ac:dyDescent="0.4">
      <c r="A97" t="str">
        <f t="shared" si="12"/>
        <v>/paket/ablieferung/ordnungssystem/ordnungssystemposition/dossier</v>
      </c>
      <c r="B97" s="1" t="s">
        <v>47</v>
      </c>
      <c r="E97" t="s">
        <v>226</v>
      </c>
      <c r="F97" s="4" t="e">
        <f t="shared" si="14"/>
        <v>#VALUE!</v>
      </c>
      <c r="G97" t="str">
        <f t="shared" si="13"/>
        <v>/paket/ablieferung/ordnungssystem/ordnungssystemposition/dossier/dokument</v>
      </c>
    </row>
    <row r="98" spans="1:7" ht="16.8" x14ac:dyDescent="0.4">
      <c r="A98" t="str">
        <f t="shared" si="12"/>
        <v>/paket/ablieferung/ordnungssystem/ordnungssystemposition/dossier</v>
      </c>
      <c r="B98" s="1" t="s">
        <v>52</v>
      </c>
      <c r="E98" t="s">
        <v>226</v>
      </c>
      <c r="F98" s="4" t="e">
        <f t="shared" si="14"/>
        <v>#VALUE!</v>
      </c>
      <c r="G98" t="str">
        <f t="shared" si="13"/>
        <v>/paket/ablieferung/ordnungssystem/ordnungssystemposition/dossier/dateiRef</v>
      </c>
    </row>
    <row r="99" spans="1:7" ht="16.8" x14ac:dyDescent="0.4">
      <c r="A99" t="str">
        <f t="shared" si="12"/>
        <v>/paket/ablieferung/ordnungssystem/ordnungssystemposition/dossier</v>
      </c>
      <c r="B99" s="1" t="s">
        <v>56</v>
      </c>
      <c r="E99" t="s">
        <v>226</v>
      </c>
      <c r="F99" s="4" t="e">
        <f t="shared" si="14"/>
        <v>#VALUE!</v>
      </c>
      <c r="G99" t="str">
        <f t="shared" si="13"/>
        <v>/paket/ablieferung/ordnungssystem/ordnungssystemposition/dossier/archivischeNotiz</v>
      </c>
    </row>
    <row r="100" spans="1:7" ht="16.8" x14ac:dyDescent="0.4">
      <c r="A100" t="str">
        <f t="shared" si="12"/>
        <v>/paket/ablieferung/ordnungssystem/ordnungssystemposition/dossier</v>
      </c>
      <c r="B100" s="1" t="s">
        <v>178</v>
      </c>
      <c r="E100" t="s">
        <v>226</v>
      </c>
      <c r="F100" s="4" t="e">
        <f t="shared" si="14"/>
        <v>#VALUE!</v>
      </c>
      <c r="G100" t="str">
        <f t="shared" si="13"/>
        <v>/paket/ablieferung/ordnungssystem/ordnungssystemposition/dossier/umfang</v>
      </c>
    </row>
    <row r="101" spans="1:7" ht="16.8" x14ac:dyDescent="0.4">
      <c r="A101" t="str">
        <f t="shared" si="11"/>
        <v>/paket/ablieferung/ordnungssystem/ordnungssystemposition</v>
      </c>
      <c r="B101" s="1" t="s">
        <v>40</v>
      </c>
      <c r="E101" t="s">
        <v>224</v>
      </c>
      <c r="F101" s="4" t="e">
        <f t="shared" si="14"/>
        <v>#VALUE!</v>
      </c>
      <c r="G101" t="str">
        <f t="shared" si="13"/>
        <v>/paket/ablieferung/ordnungssystem/ordnungssystemposition/mappe</v>
      </c>
    </row>
    <row r="102" spans="1:7" ht="16.8" x14ac:dyDescent="0.4">
      <c r="A102" t="str">
        <f t="shared" si="11"/>
        <v>/paket/ablieferung/ordnungssystem/ordnungssystemposition</v>
      </c>
      <c r="B102" s="1" t="s">
        <v>56</v>
      </c>
      <c r="E102" t="s">
        <v>224</v>
      </c>
      <c r="F102" s="4" t="e">
        <f t="shared" si="14"/>
        <v>#VALUE!</v>
      </c>
      <c r="G102" t="str">
        <f t="shared" si="13"/>
        <v>/paket/ablieferung/ordnungssystem/ordnungssystemposition/archivischeNotiz</v>
      </c>
    </row>
    <row r="103" spans="1:7" ht="16.8" x14ac:dyDescent="0.4">
      <c r="A103" t="str">
        <f t="shared" si="11"/>
        <v>/paket/ablieferung/ordnungssystem/ordnungssystemposition</v>
      </c>
      <c r="B103" s="1" t="s">
        <v>174</v>
      </c>
      <c r="E103" t="s">
        <v>224</v>
      </c>
      <c r="F103" s="4" t="e">
        <f t="shared" si="14"/>
        <v>#VALUE!</v>
      </c>
      <c r="G103" t="str">
        <f t="shared" si="13"/>
        <v>/paket/ablieferung/ordnungssystem/ordnungssystemposition/nummer</v>
      </c>
    </row>
    <row r="104" spans="1:7" ht="16.8" x14ac:dyDescent="0.4">
      <c r="A104" t="str">
        <f t="shared" si="11"/>
        <v>/paket/ablieferung/ordnungssystem/ordnungssystemposition</v>
      </c>
      <c r="B104" s="1" t="s">
        <v>80</v>
      </c>
      <c r="E104" t="s">
        <v>224</v>
      </c>
      <c r="F104" s="4" t="e">
        <f t="shared" si="14"/>
        <v>#VALUE!</v>
      </c>
      <c r="G104" t="str">
        <f t="shared" si="13"/>
        <v>/paket/ablieferung/ordnungssystem/ordnungssystemposition/titel</v>
      </c>
    </row>
    <row r="105" spans="1:7" ht="16.8" x14ac:dyDescent="0.4">
      <c r="A105" t="str">
        <f t="shared" si="11"/>
        <v>/paket/ablieferung/ordnungssystem/ordnungssystemposition</v>
      </c>
      <c r="B105" s="1" t="s">
        <v>169</v>
      </c>
      <c r="E105" t="s">
        <v>224</v>
      </c>
      <c r="F105" s="4" t="e">
        <f t="shared" ref="F105:F114" si="15">PROPER(Umlaut(FixSpacing(B105),1))&amp;IF(C105="",""," "&amp;C105)</f>
        <v>#VALUE!</v>
      </c>
      <c r="G105" t="str">
        <f t="shared" si="13"/>
        <v>/paket/ablieferung/ordnungssystem/ordnungssystemposition/schutzfristenkategorie</v>
      </c>
    </row>
    <row r="106" spans="1:7" ht="16.8" x14ac:dyDescent="0.4">
      <c r="A106" t="str">
        <f t="shared" si="11"/>
        <v>/paket/ablieferung/ordnungssystem/ordnungssystemposition</v>
      </c>
      <c r="B106" s="1" t="s">
        <v>170</v>
      </c>
      <c r="E106" t="s">
        <v>224</v>
      </c>
      <c r="F106" s="4" t="e">
        <f t="shared" si="15"/>
        <v>#VALUE!</v>
      </c>
      <c r="G106" t="str">
        <f t="shared" si="13"/>
        <v>/paket/ablieferung/ordnungssystem/ordnungssystemposition/schutzfrist</v>
      </c>
    </row>
    <row r="107" spans="1:7" ht="16.8" x14ac:dyDescent="0.4">
      <c r="A107" t="str">
        <f t="shared" si="11"/>
        <v>/paket/ablieferung/ordnungssystem/ordnungssystemposition</v>
      </c>
      <c r="B107" s="1" t="s">
        <v>175</v>
      </c>
      <c r="E107" t="s">
        <v>224</v>
      </c>
      <c r="F107" s="4" t="e">
        <f t="shared" si="15"/>
        <v>#VALUE!</v>
      </c>
      <c r="G107" t="str">
        <f t="shared" si="13"/>
        <v>/paket/ablieferung/ordnungssystem/ordnungssystemposition/schutzfristenBegruendung</v>
      </c>
    </row>
    <row r="108" spans="1:7" ht="16.8" x14ac:dyDescent="0.4">
      <c r="A108" t="str">
        <f t="shared" si="11"/>
        <v>/paket/ablieferung/ordnungssystem/ordnungssystemposition</v>
      </c>
      <c r="B108" s="1" t="s">
        <v>32</v>
      </c>
      <c r="E108" t="s">
        <v>224</v>
      </c>
      <c r="F108" s="4" t="e">
        <f t="shared" si="15"/>
        <v>#VALUE!</v>
      </c>
      <c r="G108" t="str">
        <f t="shared" si="13"/>
        <v>/paket/ablieferung/ordnungssystem/ordnungssystemposition/ordnungssystemposition</v>
      </c>
    </row>
    <row r="109" spans="1:7" ht="16.8" x14ac:dyDescent="0.4">
      <c r="A109" t="str">
        <f t="shared" si="11"/>
        <v>/paket/ablieferung/ordnungssystem/ordnungssystemposition</v>
      </c>
      <c r="B109" s="1" t="s">
        <v>35</v>
      </c>
      <c r="E109" t="s">
        <v>224</v>
      </c>
      <c r="F109" s="4" t="e">
        <f t="shared" si="15"/>
        <v>#VALUE!</v>
      </c>
      <c r="G109" t="str">
        <f t="shared" si="13"/>
        <v>/paket/ablieferung/ordnungssystem/ordnungssystemposition/dossier</v>
      </c>
    </row>
    <row r="110" spans="1:7" ht="16.8" x14ac:dyDescent="0.4">
      <c r="A110" t="str">
        <f t="shared" si="11"/>
        <v>/paket/ablieferung/ordnungssystem/ordnungssystemposition</v>
      </c>
      <c r="B110" s="1" t="s">
        <v>40</v>
      </c>
      <c r="E110" t="s">
        <v>224</v>
      </c>
      <c r="F110" s="4" t="e">
        <f t="shared" si="15"/>
        <v>#VALUE!</v>
      </c>
      <c r="G110" t="str">
        <f t="shared" si="13"/>
        <v>/paket/ablieferung/ordnungssystem/ordnungssystemposition/mappe</v>
      </c>
    </row>
    <row r="111" spans="1:7" ht="16.8" x14ac:dyDescent="0.4">
      <c r="A111" t="str">
        <f t="shared" si="11"/>
        <v>/paket/ablieferung/ordnungssystem/ordnungssystemposition</v>
      </c>
      <c r="B111" s="1" t="s">
        <v>56</v>
      </c>
      <c r="E111" t="s">
        <v>224</v>
      </c>
      <c r="F111" s="4" t="e">
        <f t="shared" si="15"/>
        <v>#VALUE!</v>
      </c>
      <c r="G111" t="str">
        <f t="shared" si="13"/>
        <v>/paket/ablieferung/ordnungssystem/ordnungssystemposition/archivischeNotiz</v>
      </c>
    </row>
    <row r="112" spans="1:7" ht="16.8" x14ac:dyDescent="0.4">
      <c r="A112" t="str">
        <f t="shared" ref="A112:A114" si="16">G$41</f>
        <v>/paket/ablieferung/ordnungssystem</v>
      </c>
      <c r="B112" s="1" t="s">
        <v>70</v>
      </c>
      <c r="E112" t="s">
        <v>221</v>
      </c>
      <c r="F112" s="4" t="e">
        <f t="shared" si="15"/>
        <v>#VALUE!</v>
      </c>
      <c r="G112" t="str">
        <f t="shared" si="13"/>
        <v>/paket/ablieferung/ordnungssystem/generation</v>
      </c>
    </row>
    <row r="113" spans="1:7" ht="16.8" x14ac:dyDescent="0.4">
      <c r="A113" t="str">
        <f t="shared" ref="A113" si="17">G$41</f>
        <v>/paket/ablieferung/ordnungssystem</v>
      </c>
      <c r="B113" s="1" t="s">
        <v>71</v>
      </c>
      <c r="C113" t="s">
        <v>216</v>
      </c>
      <c r="D113" t="s">
        <v>98</v>
      </c>
      <c r="E113" t="s">
        <v>221</v>
      </c>
      <c r="F113" s="4" t="e">
        <f t="shared" si="15"/>
        <v>#VALUE!</v>
      </c>
      <c r="G113" t="str">
        <f t="shared" si="13"/>
        <v>/paket/ablieferung/ordnungssystem/anwendungszeitraum/von/datum</v>
      </c>
    </row>
    <row r="114" spans="1:7" ht="16.8" x14ac:dyDescent="0.4">
      <c r="A114" t="str">
        <f t="shared" si="16"/>
        <v>/paket/ablieferung/ordnungssystem</v>
      </c>
      <c r="B114" s="1" t="s">
        <v>71</v>
      </c>
      <c r="C114" t="s">
        <v>217</v>
      </c>
      <c r="D114" t="s">
        <v>98</v>
      </c>
      <c r="E114" t="s">
        <v>221</v>
      </c>
      <c r="F114" s="4" t="e">
        <f t="shared" si="15"/>
        <v>#VALUE!</v>
      </c>
      <c r="G114" t="str">
        <f t="shared" si="13"/>
        <v>/paket/ablieferung/ordnungssystem/anwendungszeitraum/bis/datum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78"/>
  <sheetViews>
    <sheetView topLeftCell="A100" workbookViewId="0">
      <selection activeCell="B115" sqref="B115"/>
    </sheetView>
  </sheetViews>
  <sheetFormatPr baseColWidth="10" defaultRowHeight="14.4" x14ac:dyDescent="0.3"/>
  <cols>
    <col min="1" max="1" width="28" customWidth="1"/>
    <col min="2" max="2" width="23.109375" bestFit="1" customWidth="1"/>
    <col min="3" max="3" width="36.109375" bestFit="1" customWidth="1"/>
    <col min="4" max="4" width="10.77734375" bestFit="1" customWidth="1"/>
    <col min="5" max="5" width="57.77734375" bestFit="1" customWidth="1"/>
    <col min="6" max="6" width="82.44140625" bestFit="1" customWidth="1"/>
    <col min="7" max="7" width="11.33203125" bestFit="1" customWidth="1"/>
  </cols>
  <sheetData>
    <row r="1" spans="1:7" s="3" customFormat="1" x14ac:dyDescent="0.3">
      <c r="A1" s="3" t="s">
        <v>262</v>
      </c>
      <c r="B1" s="3" t="s">
        <v>263</v>
      </c>
      <c r="C1" s="3" t="s">
        <v>210</v>
      </c>
      <c r="D1" s="3" t="s">
        <v>213</v>
      </c>
      <c r="E1" s="3" t="s">
        <v>211</v>
      </c>
      <c r="F1" s="3" t="s">
        <v>212</v>
      </c>
      <c r="G1" s="3" t="s">
        <v>261</v>
      </c>
    </row>
    <row r="2" spans="1:7" x14ac:dyDescent="0.3">
      <c r="B2" t="s">
        <v>20</v>
      </c>
      <c r="C2" t="s">
        <v>152</v>
      </c>
      <c r="E2" t="e">
        <f t="shared" ref="E2:E33" si="0">PROPER(Umlaut(FixSpacing(B2),1))&amp;": "&amp;PROPER(Umlaut(FixSpacing(C2),1))&amp;IF(D2="",""," "&amp;D2)</f>
        <v>#VALUE!</v>
      </c>
      <c r="F2" t="str">
        <f t="shared" ref="F2:F33" si="1">A2&amp;"/"&amp;B2</f>
        <v>/paket</v>
      </c>
      <c r="G2" t="s">
        <v>269</v>
      </c>
    </row>
    <row r="3" spans="1:7" x14ac:dyDescent="0.3">
      <c r="B3" t="s">
        <v>20</v>
      </c>
      <c r="C3" t="s">
        <v>58</v>
      </c>
      <c r="E3" t="e">
        <f t="shared" si="0"/>
        <v>#VALUE!</v>
      </c>
      <c r="F3" t="str">
        <f t="shared" si="1"/>
        <v>/paket</v>
      </c>
      <c r="G3" t="s">
        <v>269</v>
      </c>
    </row>
    <row r="4" spans="1:7" x14ac:dyDescent="0.3">
      <c r="B4" t="s">
        <v>20</v>
      </c>
      <c r="C4" t="s">
        <v>59</v>
      </c>
      <c r="E4" t="e">
        <f t="shared" si="0"/>
        <v>#VALUE!</v>
      </c>
      <c r="F4" t="str">
        <f t="shared" si="1"/>
        <v>/paket</v>
      </c>
      <c r="G4" t="s">
        <v>269</v>
      </c>
    </row>
    <row r="5" spans="1:7" x14ac:dyDescent="0.3">
      <c r="B5" t="s">
        <v>20</v>
      </c>
      <c r="C5" t="s">
        <v>164</v>
      </c>
      <c r="E5" t="e">
        <f t="shared" si="0"/>
        <v>#VALUE!</v>
      </c>
      <c r="F5" t="str">
        <f t="shared" si="1"/>
        <v>/paket</v>
      </c>
      <c r="G5" t="s">
        <v>269</v>
      </c>
    </row>
    <row r="6" spans="1:7" x14ac:dyDescent="0.3">
      <c r="B6" t="s">
        <v>20</v>
      </c>
      <c r="C6" s="10" t="s">
        <v>22</v>
      </c>
      <c r="E6" t="e">
        <f t="shared" si="0"/>
        <v>#VALUE!</v>
      </c>
      <c r="F6" t="str">
        <f t="shared" si="1"/>
        <v>/paket</v>
      </c>
      <c r="G6" t="s">
        <v>269</v>
      </c>
    </row>
    <row r="7" spans="1:7" x14ac:dyDescent="0.3">
      <c r="B7" t="s">
        <v>20</v>
      </c>
      <c r="C7" s="11" t="s">
        <v>50</v>
      </c>
      <c r="E7" t="e">
        <f t="shared" si="0"/>
        <v>#VALUE!</v>
      </c>
      <c r="F7" t="str">
        <f t="shared" si="1"/>
        <v>/paket</v>
      </c>
      <c r="G7" t="s">
        <v>269</v>
      </c>
    </row>
    <row r="8" spans="1:7" x14ac:dyDescent="0.3">
      <c r="B8" t="s">
        <v>20</v>
      </c>
      <c r="C8" s="12" t="s">
        <v>55</v>
      </c>
      <c r="E8" t="e">
        <f t="shared" si="0"/>
        <v>#VALUE!</v>
      </c>
      <c r="F8" t="str">
        <f t="shared" si="1"/>
        <v>/paket</v>
      </c>
      <c r="G8" t="s">
        <v>269</v>
      </c>
    </row>
    <row r="9" spans="1:7" x14ac:dyDescent="0.3">
      <c r="B9" t="s">
        <v>20</v>
      </c>
      <c r="C9" s="13" t="s">
        <v>56</v>
      </c>
      <c r="E9" t="e">
        <f t="shared" si="0"/>
        <v>#VALUE!</v>
      </c>
      <c r="F9" t="str">
        <f t="shared" si="1"/>
        <v>/paket</v>
      </c>
      <c r="G9" t="s">
        <v>269</v>
      </c>
    </row>
    <row r="10" spans="1:7" x14ac:dyDescent="0.3">
      <c r="A10" t="str">
        <f>F$6</f>
        <v>/paket</v>
      </c>
      <c r="B10" s="10" t="s">
        <v>22</v>
      </c>
      <c r="C10" t="s">
        <v>165</v>
      </c>
      <c r="E10" t="e">
        <f t="shared" si="0"/>
        <v>#VALUE!</v>
      </c>
      <c r="F10" t="str">
        <f t="shared" si="1"/>
        <v>/paket/ablieferung</v>
      </c>
      <c r="G10" t="s">
        <v>269</v>
      </c>
    </row>
    <row r="11" spans="1:7" x14ac:dyDescent="0.3">
      <c r="A11" t="str">
        <f t="shared" ref="A11:A27" si="2">F$6</f>
        <v>/paket</v>
      </c>
      <c r="B11" s="10" t="s">
        <v>22</v>
      </c>
      <c r="C11" t="s">
        <v>60</v>
      </c>
      <c r="E11" t="e">
        <f t="shared" si="0"/>
        <v>#VALUE!</v>
      </c>
      <c r="F11" t="str">
        <f t="shared" si="1"/>
        <v>/paket/ablieferung</v>
      </c>
      <c r="G11" t="s">
        <v>269</v>
      </c>
    </row>
    <row r="12" spans="1:7" x14ac:dyDescent="0.3">
      <c r="A12" t="str">
        <f t="shared" si="2"/>
        <v>/paket</v>
      </c>
      <c r="B12" s="10" t="s">
        <v>22</v>
      </c>
      <c r="C12" t="s">
        <v>166</v>
      </c>
      <c r="E12" t="e">
        <f t="shared" si="0"/>
        <v>#VALUE!</v>
      </c>
      <c r="F12" t="str">
        <f t="shared" si="1"/>
        <v>/paket/ablieferung</v>
      </c>
      <c r="G12" t="s">
        <v>269</v>
      </c>
    </row>
    <row r="13" spans="1:7" x14ac:dyDescent="0.3">
      <c r="A13" t="str">
        <f t="shared" si="2"/>
        <v>/paket</v>
      </c>
      <c r="B13" s="10" t="s">
        <v>22</v>
      </c>
      <c r="C13" t="s">
        <v>61</v>
      </c>
      <c r="E13" t="e">
        <f t="shared" si="0"/>
        <v>#VALUE!</v>
      </c>
      <c r="F13" t="str">
        <f t="shared" si="1"/>
        <v>/paket/ablieferung</v>
      </c>
      <c r="G13" t="s">
        <v>269</v>
      </c>
    </row>
    <row r="14" spans="1:7" x14ac:dyDescent="0.3">
      <c r="A14" t="str">
        <f t="shared" si="2"/>
        <v>/paket</v>
      </c>
      <c r="B14" s="10" t="s">
        <v>22</v>
      </c>
      <c r="C14" t="s">
        <v>62</v>
      </c>
      <c r="D14" t="s">
        <v>267</v>
      </c>
      <c r="E14" t="e">
        <f t="shared" si="0"/>
        <v>#VALUE!</v>
      </c>
      <c r="F14" t="str">
        <f t="shared" si="1"/>
        <v>/paket/ablieferung</v>
      </c>
      <c r="G14" t="s">
        <v>269</v>
      </c>
    </row>
    <row r="15" spans="1:7" x14ac:dyDescent="0.3">
      <c r="A15" t="str">
        <f t="shared" ref="A15:A16" si="3">F$6</f>
        <v>/paket</v>
      </c>
      <c r="B15" s="10" t="s">
        <v>22</v>
      </c>
      <c r="C15" t="s">
        <v>62</v>
      </c>
      <c r="D15" t="s">
        <v>268</v>
      </c>
      <c r="E15" t="e">
        <f t="shared" si="0"/>
        <v>#VALUE!</v>
      </c>
      <c r="F15" t="str">
        <f t="shared" si="1"/>
        <v>/paket/ablieferung</v>
      </c>
      <c r="G15" t="s">
        <v>269</v>
      </c>
    </row>
    <row r="16" spans="1:7" x14ac:dyDescent="0.3">
      <c r="A16" t="str">
        <f t="shared" si="3"/>
        <v>/paket</v>
      </c>
      <c r="B16" s="10" t="s">
        <v>22</v>
      </c>
      <c r="C16" t="s">
        <v>62</v>
      </c>
      <c r="D16" t="s">
        <v>266</v>
      </c>
      <c r="E16" t="e">
        <f t="shared" si="0"/>
        <v>#VALUE!</v>
      </c>
      <c r="F16" t="str">
        <f t="shared" si="1"/>
        <v>/paket/ablieferung</v>
      </c>
      <c r="G16" t="s">
        <v>269</v>
      </c>
    </row>
    <row r="17" spans="1:7" x14ac:dyDescent="0.3">
      <c r="A17" t="str">
        <f t="shared" si="2"/>
        <v>/paket</v>
      </c>
      <c r="B17" s="10" t="s">
        <v>22</v>
      </c>
      <c r="C17" t="s">
        <v>167</v>
      </c>
      <c r="E17" t="e">
        <f t="shared" si="0"/>
        <v>#VALUE!</v>
      </c>
      <c r="F17" t="str">
        <f t="shared" si="1"/>
        <v>/paket/ablieferung</v>
      </c>
      <c r="G17" t="s">
        <v>269</v>
      </c>
    </row>
    <row r="18" spans="1:7" x14ac:dyDescent="0.3">
      <c r="A18" t="str">
        <f t="shared" si="2"/>
        <v>/paket</v>
      </c>
      <c r="B18" s="10" t="s">
        <v>22</v>
      </c>
      <c r="C18" t="s">
        <v>168</v>
      </c>
      <c r="E18" t="e">
        <f t="shared" si="0"/>
        <v>#VALUE!</v>
      </c>
      <c r="F18" t="str">
        <f t="shared" si="1"/>
        <v>/paket/ablieferung</v>
      </c>
      <c r="G18" t="s">
        <v>269</v>
      </c>
    </row>
    <row r="19" spans="1:7" x14ac:dyDescent="0.3">
      <c r="A19" t="str">
        <f t="shared" si="2"/>
        <v>/paket</v>
      </c>
      <c r="B19" s="10" t="s">
        <v>22</v>
      </c>
      <c r="C19" t="s">
        <v>169</v>
      </c>
      <c r="E19" t="e">
        <f t="shared" si="0"/>
        <v>#VALUE!</v>
      </c>
      <c r="F19" t="str">
        <f t="shared" si="1"/>
        <v>/paket/ablieferung</v>
      </c>
      <c r="G19" t="s">
        <v>269</v>
      </c>
    </row>
    <row r="20" spans="1:7" x14ac:dyDescent="0.3">
      <c r="A20" t="str">
        <f t="shared" si="2"/>
        <v>/paket</v>
      </c>
      <c r="B20" s="10" t="s">
        <v>22</v>
      </c>
      <c r="C20" t="s">
        <v>170</v>
      </c>
      <c r="E20" t="e">
        <f t="shared" si="0"/>
        <v>#VALUE!</v>
      </c>
      <c r="F20" t="str">
        <f t="shared" si="1"/>
        <v>/paket/ablieferung</v>
      </c>
      <c r="G20" t="s">
        <v>269</v>
      </c>
    </row>
    <row r="21" spans="1:7" x14ac:dyDescent="0.3">
      <c r="A21" t="str">
        <f t="shared" si="2"/>
        <v>/paket</v>
      </c>
      <c r="B21" s="10" t="s">
        <v>22</v>
      </c>
      <c r="C21" t="s">
        <v>63</v>
      </c>
      <c r="E21" t="e">
        <f t="shared" si="0"/>
        <v>#VALUE!</v>
      </c>
      <c r="F21" t="str">
        <f t="shared" si="1"/>
        <v>/paket/ablieferung</v>
      </c>
      <c r="G21" t="s">
        <v>269</v>
      </c>
    </row>
    <row r="22" spans="1:7" x14ac:dyDescent="0.3">
      <c r="A22" t="str">
        <f t="shared" si="2"/>
        <v>/paket</v>
      </c>
      <c r="B22" s="10" t="s">
        <v>22</v>
      </c>
      <c r="C22" t="s">
        <v>64</v>
      </c>
      <c r="E22" t="e">
        <f t="shared" si="0"/>
        <v>#VALUE!</v>
      </c>
      <c r="F22" t="str">
        <f t="shared" si="1"/>
        <v>/paket/ablieferung</v>
      </c>
      <c r="G22" t="s">
        <v>269</v>
      </c>
    </row>
    <row r="23" spans="1:7" x14ac:dyDescent="0.3">
      <c r="A23" t="str">
        <f t="shared" si="2"/>
        <v>/paket</v>
      </c>
      <c r="B23" s="10" t="s">
        <v>22</v>
      </c>
      <c r="C23" t="s">
        <v>59</v>
      </c>
      <c r="E23" t="e">
        <f t="shared" si="0"/>
        <v>#VALUE!</v>
      </c>
      <c r="F23" t="str">
        <f t="shared" si="1"/>
        <v>/paket/ablieferung</v>
      </c>
      <c r="G23" t="s">
        <v>269</v>
      </c>
    </row>
    <row r="24" spans="1:7" x14ac:dyDescent="0.3">
      <c r="A24" t="str">
        <f t="shared" si="2"/>
        <v>/paket</v>
      </c>
      <c r="B24" s="10" t="s">
        <v>22</v>
      </c>
      <c r="C24" s="14" t="s">
        <v>26</v>
      </c>
      <c r="E24" t="e">
        <f t="shared" si="0"/>
        <v>#VALUE!</v>
      </c>
      <c r="F24" t="str">
        <f t="shared" si="1"/>
        <v>/paket/ablieferung</v>
      </c>
      <c r="G24" t="s">
        <v>269</v>
      </c>
    </row>
    <row r="25" spans="1:7" x14ac:dyDescent="0.3">
      <c r="A25" t="str">
        <f t="shared" si="2"/>
        <v>/paket</v>
      </c>
      <c r="B25" s="10" t="s">
        <v>22</v>
      </c>
      <c r="C25" s="15" t="s">
        <v>29</v>
      </c>
      <c r="E25" t="e">
        <f t="shared" si="0"/>
        <v>#VALUE!</v>
      </c>
      <c r="F25" t="str">
        <f t="shared" si="1"/>
        <v>/paket/ablieferung</v>
      </c>
      <c r="G25" t="s">
        <v>269</v>
      </c>
    </row>
    <row r="26" spans="1:7" x14ac:dyDescent="0.3">
      <c r="A26" t="str">
        <f t="shared" si="2"/>
        <v>/paket</v>
      </c>
      <c r="B26" s="10" t="s">
        <v>22</v>
      </c>
      <c r="C26" s="16" t="s">
        <v>40</v>
      </c>
      <c r="E26" t="e">
        <f t="shared" si="0"/>
        <v>#VALUE!</v>
      </c>
      <c r="F26" t="str">
        <f t="shared" si="1"/>
        <v>/paket/ablieferung</v>
      </c>
      <c r="G26" t="s">
        <v>269</v>
      </c>
    </row>
    <row r="27" spans="1:7" x14ac:dyDescent="0.3">
      <c r="A27" t="str">
        <f t="shared" si="2"/>
        <v>/paket</v>
      </c>
      <c r="B27" s="10" t="s">
        <v>22</v>
      </c>
      <c r="C27" s="17" t="s">
        <v>56</v>
      </c>
      <c r="E27" t="e">
        <f t="shared" si="0"/>
        <v>#VALUE!</v>
      </c>
      <c r="F27" t="str">
        <f t="shared" si="1"/>
        <v>/paket/ablieferung</v>
      </c>
      <c r="G27" t="s">
        <v>269</v>
      </c>
    </row>
    <row r="28" spans="1:7" x14ac:dyDescent="0.3">
      <c r="A28" t="str">
        <f>F$7</f>
        <v>/paket</v>
      </c>
      <c r="B28" s="11" t="s">
        <v>50</v>
      </c>
      <c r="C28" s="18" t="s">
        <v>51</v>
      </c>
      <c r="E28" t="e">
        <f t="shared" si="0"/>
        <v>#VALUE!</v>
      </c>
      <c r="F28" t="str">
        <f t="shared" si="1"/>
        <v>/paket/inhaltsverzeichnis</v>
      </c>
      <c r="G28" t="s">
        <v>269</v>
      </c>
    </row>
    <row r="29" spans="1:7" x14ac:dyDescent="0.3">
      <c r="A29" t="str">
        <f>F$7</f>
        <v>/paket</v>
      </c>
      <c r="B29" s="11" t="s">
        <v>50</v>
      </c>
      <c r="C29" s="19" t="s">
        <v>53</v>
      </c>
      <c r="E29" t="e">
        <f t="shared" si="0"/>
        <v>#VALUE!</v>
      </c>
      <c r="F29" t="str">
        <f t="shared" si="1"/>
        <v>/paket/inhaltsverzeichnis</v>
      </c>
      <c r="G29" t="s">
        <v>269</v>
      </c>
    </row>
    <row r="30" spans="1:7" x14ac:dyDescent="0.3">
      <c r="A30" t="str">
        <f>F$28</f>
        <v>/paket/inhaltsverzeichnis</v>
      </c>
      <c r="B30" s="18" t="s">
        <v>51</v>
      </c>
      <c r="C30" t="s">
        <v>1</v>
      </c>
      <c r="E30" t="e">
        <f t="shared" si="0"/>
        <v>#VALUE!</v>
      </c>
      <c r="F30" t="str">
        <f t="shared" si="1"/>
        <v>/paket/inhaltsverzeichnis/ordner</v>
      </c>
      <c r="G30" t="s">
        <v>269</v>
      </c>
    </row>
    <row r="31" spans="1:7" x14ac:dyDescent="0.3">
      <c r="A31" t="str">
        <f t="shared" ref="A31:A33" si="4">F$28</f>
        <v>/paket/inhaltsverzeichnis</v>
      </c>
      <c r="B31" s="18" t="s">
        <v>51</v>
      </c>
      <c r="C31" t="s">
        <v>92</v>
      </c>
      <c r="E31" t="e">
        <f t="shared" si="0"/>
        <v>#VALUE!</v>
      </c>
      <c r="F31" t="str">
        <f t="shared" si="1"/>
        <v>/paket/inhaltsverzeichnis/ordner</v>
      </c>
      <c r="G31" t="s">
        <v>269</v>
      </c>
    </row>
    <row r="32" spans="1:7" x14ac:dyDescent="0.3">
      <c r="A32" t="str">
        <f t="shared" si="4"/>
        <v>/paket/inhaltsverzeichnis</v>
      </c>
      <c r="B32" s="18" t="s">
        <v>51</v>
      </c>
      <c r="C32" t="s">
        <v>51</v>
      </c>
      <c r="E32" t="e">
        <f t="shared" si="0"/>
        <v>#VALUE!</v>
      </c>
      <c r="F32" t="str">
        <f t="shared" si="1"/>
        <v>/paket/inhaltsverzeichnis/ordner</v>
      </c>
      <c r="G32" t="s">
        <v>269</v>
      </c>
    </row>
    <row r="33" spans="1:7" x14ac:dyDescent="0.3">
      <c r="A33" t="str">
        <f t="shared" si="4"/>
        <v>/paket/inhaltsverzeichnis</v>
      </c>
      <c r="B33" s="18" t="s">
        <v>51</v>
      </c>
      <c r="C33" t="s">
        <v>53</v>
      </c>
      <c r="E33" t="e">
        <f t="shared" si="0"/>
        <v>#VALUE!</v>
      </c>
      <c r="F33" t="str">
        <f t="shared" si="1"/>
        <v>/paket/inhaltsverzeichnis/ordner</v>
      </c>
      <c r="G33" t="s">
        <v>269</v>
      </c>
    </row>
    <row r="34" spans="1:7" x14ac:dyDescent="0.3">
      <c r="A34" t="str">
        <f>F$29</f>
        <v>/paket/inhaltsverzeichnis</v>
      </c>
      <c r="B34" s="19" t="s">
        <v>53</v>
      </c>
      <c r="C34" t="s">
        <v>154</v>
      </c>
      <c r="E34" t="e">
        <f t="shared" ref="E34:E65" si="5">PROPER(Umlaut(FixSpacing(B34),1))&amp;": "&amp;PROPER(Umlaut(FixSpacing(C34),1))&amp;IF(D34="",""," "&amp;D34)</f>
        <v>#VALUE!</v>
      </c>
      <c r="F34" t="str">
        <f t="shared" ref="F34:F65" si="6">A34&amp;"/"&amp;B34</f>
        <v>/paket/inhaltsverzeichnis/datei</v>
      </c>
      <c r="G34" t="s">
        <v>269</v>
      </c>
    </row>
    <row r="35" spans="1:7" x14ac:dyDescent="0.3">
      <c r="A35" t="str">
        <f t="shared" ref="A35:A40" si="7">F$29</f>
        <v>/paket/inhaltsverzeichnis</v>
      </c>
      <c r="B35" s="19" t="s">
        <v>53</v>
      </c>
      <c r="C35" t="s">
        <v>1</v>
      </c>
      <c r="E35" t="e">
        <f t="shared" si="5"/>
        <v>#VALUE!</v>
      </c>
      <c r="F35" t="str">
        <f t="shared" si="6"/>
        <v>/paket/inhaltsverzeichnis/datei</v>
      </c>
      <c r="G35" t="s">
        <v>269</v>
      </c>
    </row>
    <row r="36" spans="1:7" x14ac:dyDescent="0.3">
      <c r="A36" t="str">
        <f t="shared" si="7"/>
        <v>/paket/inhaltsverzeichnis</v>
      </c>
      <c r="B36" s="19" t="s">
        <v>53</v>
      </c>
      <c r="C36" t="s">
        <v>92</v>
      </c>
      <c r="E36" t="e">
        <f t="shared" si="5"/>
        <v>#VALUE!</v>
      </c>
      <c r="F36" t="str">
        <f t="shared" si="6"/>
        <v>/paket/inhaltsverzeichnis/datei</v>
      </c>
      <c r="G36" t="s">
        <v>269</v>
      </c>
    </row>
    <row r="37" spans="1:7" x14ac:dyDescent="0.3">
      <c r="A37" t="str">
        <f t="shared" si="7"/>
        <v>/paket/inhaltsverzeichnis</v>
      </c>
      <c r="B37" s="19" t="s">
        <v>53</v>
      </c>
      <c r="C37" t="s">
        <v>93</v>
      </c>
      <c r="E37" t="e">
        <f t="shared" si="5"/>
        <v>#VALUE!</v>
      </c>
      <c r="F37" t="str">
        <f t="shared" si="6"/>
        <v>/paket/inhaltsverzeichnis/datei</v>
      </c>
      <c r="G37" t="s">
        <v>269</v>
      </c>
    </row>
    <row r="38" spans="1:7" x14ac:dyDescent="0.3">
      <c r="A38" t="str">
        <f t="shared" si="7"/>
        <v>/paket/inhaltsverzeichnis</v>
      </c>
      <c r="B38" s="19" t="s">
        <v>53</v>
      </c>
      <c r="C38" t="s">
        <v>94</v>
      </c>
      <c r="E38" t="e">
        <f t="shared" si="5"/>
        <v>#VALUE!</v>
      </c>
      <c r="F38" t="str">
        <f t="shared" si="6"/>
        <v>/paket/inhaltsverzeichnis/datei</v>
      </c>
      <c r="G38" t="s">
        <v>269</v>
      </c>
    </row>
    <row r="39" spans="1:7" x14ac:dyDescent="0.3">
      <c r="A39" t="str">
        <f t="shared" si="7"/>
        <v>/paket/inhaltsverzeichnis</v>
      </c>
      <c r="B39" s="19" t="s">
        <v>53</v>
      </c>
      <c r="C39" t="s">
        <v>95</v>
      </c>
      <c r="E39" t="e">
        <f t="shared" si="5"/>
        <v>#VALUE!</v>
      </c>
      <c r="F39" t="str">
        <f t="shared" si="6"/>
        <v>/paket/inhaltsverzeichnis/datei</v>
      </c>
      <c r="G39" t="s">
        <v>269</v>
      </c>
    </row>
    <row r="40" spans="1:7" x14ac:dyDescent="0.3">
      <c r="A40" t="str">
        <f t="shared" si="7"/>
        <v>/paket/inhaltsverzeichnis</v>
      </c>
      <c r="B40" s="19" t="s">
        <v>53</v>
      </c>
      <c r="C40" s="17" t="s">
        <v>56</v>
      </c>
      <c r="E40" t="e">
        <f t="shared" si="5"/>
        <v>#VALUE!</v>
      </c>
      <c r="F40" t="str">
        <f t="shared" si="6"/>
        <v>/paket/inhaltsverzeichnis/datei</v>
      </c>
      <c r="G40" t="s">
        <v>269</v>
      </c>
    </row>
    <row r="41" spans="1:7" x14ac:dyDescent="0.3">
      <c r="A41" t="str">
        <f>F$24</f>
        <v>/paket/ablieferung</v>
      </c>
      <c r="B41" s="14" t="s">
        <v>26</v>
      </c>
      <c r="C41" t="s">
        <v>264</v>
      </c>
      <c r="E41" t="e">
        <f t="shared" si="5"/>
        <v>#VALUE!</v>
      </c>
      <c r="F41" t="str">
        <f t="shared" si="6"/>
        <v>/paket/ablieferung/provenienz</v>
      </c>
      <c r="G41" t="s">
        <v>269</v>
      </c>
    </row>
    <row r="42" spans="1:7" x14ac:dyDescent="0.3">
      <c r="A42" t="str">
        <f t="shared" ref="A42:A52" si="8">F$24</f>
        <v>/paket/ablieferung</v>
      </c>
      <c r="B42" s="14" t="s">
        <v>26</v>
      </c>
      <c r="C42" t="s">
        <v>66</v>
      </c>
      <c r="E42" t="e">
        <f t="shared" si="5"/>
        <v>#VALUE!</v>
      </c>
      <c r="F42" t="str">
        <f t="shared" si="6"/>
        <v>/paket/ablieferung/provenienz</v>
      </c>
      <c r="G42" t="s">
        <v>269</v>
      </c>
    </row>
    <row r="43" spans="1:7" x14ac:dyDescent="0.3">
      <c r="A43" t="str">
        <f t="shared" si="8"/>
        <v>/paket/ablieferung</v>
      </c>
      <c r="B43" s="14" t="s">
        <v>26</v>
      </c>
      <c r="C43" t="s">
        <v>67</v>
      </c>
      <c r="E43" t="e">
        <f t="shared" si="5"/>
        <v>#VALUE!</v>
      </c>
      <c r="F43" t="str">
        <f t="shared" si="6"/>
        <v>/paket/ablieferung/provenienz</v>
      </c>
      <c r="G43" t="s">
        <v>269</v>
      </c>
    </row>
    <row r="44" spans="1:7" x14ac:dyDescent="0.3">
      <c r="A44" t="str">
        <f t="shared" si="8"/>
        <v>/paket/ablieferung</v>
      </c>
      <c r="B44" s="14" t="s">
        <v>26</v>
      </c>
      <c r="C44" t="s">
        <v>171</v>
      </c>
      <c r="E44" t="e">
        <f t="shared" si="5"/>
        <v>#VALUE!</v>
      </c>
      <c r="F44" t="str">
        <f t="shared" si="6"/>
        <v>/paket/ablieferung/provenienz</v>
      </c>
      <c r="G44" t="s">
        <v>269</v>
      </c>
    </row>
    <row r="45" spans="1:7" x14ac:dyDescent="0.3">
      <c r="A45" t="str">
        <f t="shared" si="8"/>
        <v>/paket/ablieferung</v>
      </c>
      <c r="B45" s="14" t="s">
        <v>26</v>
      </c>
      <c r="C45" t="s">
        <v>172</v>
      </c>
      <c r="E45" t="e">
        <f t="shared" si="5"/>
        <v>#VALUE!</v>
      </c>
      <c r="F45" t="str">
        <f t="shared" si="6"/>
        <v>/paket/ablieferung/provenienz</v>
      </c>
      <c r="G45" t="s">
        <v>269</v>
      </c>
    </row>
    <row r="46" spans="1:7" x14ac:dyDescent="0.3">
      <c r="A46" t="str">
        <f t="shared" si="8"/>
        <v>/paket/ablieferung</v>
      </c>
      <c r="B46" s="14" t="s">
        <v>26</v>
      </c>
      <c r="C46" t="s">
        <v>173</v>
      </c>
      <c r="E46" t="e">
        <f t="shared" si="5"/>
        <v>#VALUE!</v>
      </c>
      <c r="F46" t="str">
        <f t="shared" si="6"/>
        <v>/paket/ablieferung/provenienz</v>
      </c>
      <c r="G46" t="s">
        <v>269</v>
      </c>
    </row>
    <row r="47" spans="1:7" x14ac:dyDescent="0.3">
      <c r="A47" t="str">
        <f t="shared" ref="A47:A48" si="9">F$24</f>
        <v>/paket/ablieferung</v>
      </c>
      <c r="B47" s="14" t="s">
        <v>26</v>
      </c>
      <c r="C47" t="s">
        <v>68</v>
      </c>
      <c r="D47" t="s">
        <v>267</v>
      </c>
      <c r="E47" t="e">
        <f t="shared" si="5"/>
        <v>#VALUE!</v>
      </c>
      <c r="F47" t="str">
        <f t="shared" si="6"/>
        <v>/paket/ablieferung/provenienz</v>
      </c>
      <c r="G47" t="s">
        <v>269</v>
      </c>
    </row>
    <row r="48" spans="1:7" x14ac:dyDescent="0.3">
      <c r="A48" t="str">
        <f t="shared" si="9"/>
        <v>/paket/ablieferung</v>
      </c>
      <c r="B48" s="14" t="s">
        <v>26</v>
      </c>
      <c r="C48" t="s">
        <v>68</v>
      </c>
      <c r="D48" t="s">
        <v>268</v>
      </c>
      <c r="E48" t="e">
        <f t="shared" si="5"/>
        <v>#VALUE!</v>
      </c>
      <c r="F48" t="str">
        <f t="shared" si="6"/>
        <v>/paket/ablieferung/provenienz</v>
      </c>
      <c r="G48" t="s">
        <v>269</v>
      </c>
    </row>
    <row r="49" spans="1:7" x14ac:dyDescent="0.3">
      <c r="A49" t="str">
        <f t="shared" si="8"/>
        <v>/paket/ablieferung</v>
      </c>
      <c r="B49" s="14" t="s">
        <v>26</v>
      </c>
      <c r="C49" t="s">
        <v>68</v>
      </c>
      <c r="D49" t="s">
        <v>266</v>
      </c>
      <c r="E49" t="e">
        <f t="shared" si="5"/>
        <v>#VALUE!</v>
      </c>
      <c r="F49" t="str">
        <f t="shared" si="6"/>
        <v>/paket/ablieferung/provenienz</v>
      </c>
      <c r="G49" t="s">
        <v>269</v>
      </c>
    </row>
    <row r="50" spans="1:7" x14ac:dyDescent="0.3">
      <c r="A50" t="str">
        <f t="shared" si="8"/>
        <v>/paket/ablieferung</v>
      </c>
      <c r="B50" s="14" t="s">
        <v>26</v>
      </c>
      <c r="C50" t="s">
        <v>69</v>
      </c>
      <c r="E50" t="e">
        <f t="shared" si="5"/>
        <v>#VALUE!</v>
      </c>
      <c r="F50" t="str">
        <f t="shared" si="6"/>
        <v>/paket/ablieferung/provenienz</v>
      </c>
      <c r="G50" t="s">
        <v>269</v>
      </c>
    </row>
    <row r="51" spans="1:7" x14ac:dyDescent="0.3">
      <c r="A51" t="str">
        <f t="shared" si="8"/>
        <v>/paket/ablieferung</v>
      </c>
      <c r="B51" s="14" t="s">
        <v>26</v>
      </c>
      <c r="C51" t="s">
        <v>64</v>
      </c>
      <c r="E51" t="e">
        <f t="shared" si="5"/>
        <v>#VALUE!</v>
      </c>
      <c r="F51" t="str">
        <f t="shared" si="6"/>
        <v>/paket/ablieferung/provenienz</v>
      </c>
      <c r="G51" t="s">
        <v>269</v>
      </c>
    </row>
    <row r="52" spans="1:7" x14ac:dyDescent="0.3">
      <c r="A52" t="str">
        <f t="shared" si="8"/>
        <v>/paket/ablieferung</v>
      </c>
      <c r="B52" s="14" t="s">
        <v>26</v>
      </c>
      <c r="C52" s="17" t="s">
        <v>56</v>
      </c>
      <c r="E52" t="e">
        <f t="shared" si="5"/>
        <v>#VALUE!</v>
      </c>
      <c r="F52" t="str">
        <f t="shared" si="6"/>
        <v>/paket/ablieferung/provenienz</v>
      </c>
      <c r="G52" t="s">
        <v>269</v>
      </c>
    </row>
    <row r="53" spans="1:7" x14ac:dyDescent="0.3">
      <c r="A53" t="str">
        <f t="shared" ref="A53:A63" si="10">F$25</f>
        <v>/paket/ablieferung</v>
      </c>
      <c r="B53" s="15" t="s">
        <v>29</v>
      </c>
      <c r="C53" t="s">
        <v>1</v>
      </c>
      <c r="E53" t="e">
        <f t="shared" si="5"/>
        <v>#VALUE!</v>
      </c>
      <c r="F53" t="str">
        <f t="shared" si="6"/>
        <v>/paket/ablieferung/ordnungssystem</v>
      </c>
      <c r="G53" t="s">
        <v>269</v>
      </c>
    </row>
    <row r="54" spans="1:7" x14ac:dyDescent="0.3">
      <c r="A54" t="str">
        <f t="shared" si="10"/>
        <v>/paket/ablieferung</v>
      </c>
      <c r="B54" s="15" t="s">
        <v>29</v>
      </c>
      <c r="C54" t="s">
        <v>70</v>
      </c>
      <c r="E54" t="e">
        <f t="shared" si="5"/>
        <v>#VALUE!</v>
      </c>
      <c r="F54" t="str">
        <f t="shared" si="6"/>
        <v>/paket/ablieferung/ordnungssystem</v>
      </c>
      <c r="G54" t="s">
        <v>269</v>
      </c>
    </row>
    <row r="55" spans="1:7" x14ac:dyDescent="0.3">
      <c r="A55" t="str">
        <f t="shared" ref="A55:A56" si="11">F$25</f>
        <v>/paket/ablieferung</v>
      </c>
      <c r="B55" s="15" t="s">
        <v>29</v>
      </c>
      <c r="C55" t="s">
        <v>71</v>
      </c>
      <c r="D55" t="s">
        <v>267</v>
      </c>
      <c r="E55" t="e">
        <f t="shared" si="5"/>
        <v>#VALUE!</v>
      </c>
      <c r="F55" t="str">
        <f t="shared" si="6"/>
        <v>/paket/ablieferung/ordnungssystem</v>
      </c>
      <c r="G55" t="s">
        <v>269</v>
      </c>
    </row>
    <row r="56" spans="1:7" x14ac:dyDescent="0.3">
      <c r="A56" t="str">
        <f t="shared" si="11"/>
        <v>/paket/ablieferung</v>
      </c>
      <c r="B56" s="15" t="s">
        <v>29</v>
      </c>
      <c r="C56" t="s">
        <v>71</v>
      </c>
      <c r="D56" t="s">
        <v>268</v>
      </c>
      <c r="E56" t="e">
        <f t="shared" si="5"/>
        <v>#VALUE!</v>
      </c>
      <c r="F56" t="str">
        <f t="shared" si="6"/>
        <v>/paket/ablieferung/ordnungssystem</v>
      </c>
      <c r="G56" t="s">
        <v>269</v>
      </c>
    </row>
    <row r="57" spans="1:7" x14ac:dyDescent="0.3">
      <c r="A57" t="str">
        <f t="shared" si="10"/>
        <v>/paket/ablieferung</v>
      </c>
      <c r="B57" s="15" t="s">
        <v>29</v>
      </c>
      <c r="C57" t="s">
        <v>71</v>
      </c>
      <c r="D57" t="s">
        <v>266</v>
      </c>
      <c r="E57" t="e">
        <f t="shared" si="5"/>
        <v>#VALUE!</v>
      </c>
      <c r="F57" t="str">
        <f t="shared" si="6"/>
        <v>/paket/ablieferung/ordnungssystem</v>
      </c>
      <c r="G57" t="s">
        <v>269</v>
      </c>
    </row>
    <row r="58" spans="1:7" x14ac:dyDescent="0.3">
      <c r="A58" t="str">
        <f t="shared" si="10"/>
        <v>/paket/ablieferung</v>
      </c>
      <c r="B58" s="15" t="s">
        <v>29</v>
      </c>
      <c r="C58" t="s">
        <v>72</v>
      </c>
      <c r="E58" t="e">
        <f t="shared" si="5"/>
        <v>#VALUE!</v>
      </c>
      <c r="F58" t="str">
        <f t="shared" si="6"/>
        <v>/paket/ablieferung/ordnungssystem</v>
      </c>
      <c r="G58" t="s">
        <v>269</v>
      </c>
    </row>
    <row r="59" spans="1:7" x14ac:dyDescent="0.3">
      <c r="A59" t="str">
        <f t="shared" si="10"/>
        <v>/paket/ablieferung</v>
      </c>
      <c r="B59" s="15" t="s">
        <v>29</v>
      </c>
      <c r="C59" t="s">
        <v>64</v>
      </c>
      <c r="E59" t="e">
        <f t="shared" si="5"/>
        <v>#VALUE!</v>
      </c>
      <c r="F59" t="str">
        <f t="shared" si="6"/>
        <v>/paket/ablieferung/ordnungssystem</v>
      </c>
      <c r="G59" t="s">
        <v>269</v>
      </c>
    </row>
    <row r="60" spans="1:7" x14ac:dyDescent="0.3">
      <c r="A60" t="str">
        <f t="shared" si="10"/>
        <v>/paket/ablieferung</v>
      </c>
      <c r="B60" s="15" t="s">
        <v>29</v>
      </c>
      <c r="C60" t="s">
        <v>59</v>
      </c>
      <c r="E60" t="e">
        <f t="shared" si="5"/>
        <v>#VALUE!</v>
      </c>
      <c r="F60" t="str">
        <f t="shared" si="6"/>
        <v>/paket/ablieferung/ordnungssystem</v>
      </c>
      <c r="G60" t="s">
        <v>269</v>
      </c>
    </row>
    <row r="61" spans="1:7" x14ac:dyDescent="0.3">
      <c r="A61" t="str">
        <f t="shared" si="10"/>
        <v>/paket/ablieferung</v>
      </c>
      <c r="B61" s="15" t="s">
        <v>29</v>
      </c>
      <c r="C61" s="20" t="s">
        <v>32</v>
      </c>
      <c r="E61" t="e">
        <f t="shared" si="5"/>
        <v>#VALUE!</v>
      </c>
      <c r="F61" t="str">
        <f t="shared" si="6"/>
        <v>/paket/ablieferung/ordnungssystem</v>
      </c>
      <c r="G61" t="s">
        <v>269</v>
      </c>
    </row>
    <row r="62" spans="1:7" x14ac:dyDescent="0.3">
      <c r="A62" t="str">
        <f t="shared" si="10"/>
        <v>/paket/ablieferung</v>
      </c>
      <c r="B62" s="15" t="s">
        <v>29</v>
      </c>
      <c r="C62" s="16" t="s">
        <v>40</v>
      </c>
      <c r="E62" t="e">
        <f t="shared" si="5"/>
        <v>#VALUE!</v>
      </c>
      <c r="F62" t="str">
        <f t="shared" si="6"/>
        <v>/paket/ablieferung/ordnungssystem</v>
      </c>
      <c r="G62" t="s">
        <v>269</v>
      </c>
    </row>
    <row r="63" spans="1:7" x14ac:dyDescent="0.3">
      <c r="A63" t="str">
        <f t="shared" si="10"/>
        <v>/paket/ablieferung</v>
      </c>
      <c r="B63" s="15" t="s">
        <v>29</v>
      </c>
      <c r="C63" s="17" t="s">
        <v>56</v>
      </c>
      <c r="E63" t="e">
        <f t="shared" si="5"/>
        <v>#VALUE!</v>
      </c>
      <c r="F63" t="str">
        <f t="shared" si="6"/>
        <v>/paket/ablieferung/ordnungssystem</v>
      </c>
      <c r="G63" t="s">
        <v>269</v>
      </c>
    </row>
    <row r="64" spans="1:7" x14ac:dyDescent="0.3">
      <c r="A64" t="str">
        <f>F$61</f>
        <v>/paket/ablieferung/ordnungssystem</v>
      </c>
      <c r="B64" s="20" t="s">
        <v>32</v>
      </c>
      <c r="C64" t="s">
        <v>154</v>
      </c>
      <c r="E64" t="e">
        <f t="shared" si="5"/>
        <v>#VALUE!</v>
      </c>
      <c r="F64" t="str">
        <f t="shared" si="6"/>
        <v>/paket/ablieferung/ordnungssystem/ordnungssystemposition</v>
      </c>
      <c r="G64" t="s">
        <v>269</v>
      </c>
    </row>
    <row r="65" spans="1:7" x14ac:dyDescent="0.3">
      <c r="A65" t="str">
        <f t="shared" ref="A65:A81" si="12">F$61</f>
        <v>/paket/ablieferung/ordnungssystem</v>
      </c>
      <c r="B65" s="20" t="s">
        <v>32</v>
      </c>
      <c r="C65" t="s">
        <v>153</v>
      </c>
      <c r="E65" t="e">
        <f t="shared" si="5"/>
        <v>#VALUE!</v>
      </c>
      <c r="F65" t="str">
        <f t="shared" si="6"/>
        <v>/paket/ablieferung/ordnungssystem/ordnungssystemposition</v>
      </c>
      <c r="G65" t="s">
        <v>269</v>
      </c>
    </row>
    <row r="66" spans="1:7" x14ac:dyDescent="0.3">
      <c r="A66" t="str">
        <f t="shared" si="12"/>
        <v>/paket/ablieferung/ordnungssystem</v>
      </c>
      <c r="B66" s="20" t="s">
        <v>32</v>
      </c>
      <c r="C66" t="s">
        <v>174</v>
      </c>
      <c r="E66" t="e">
        <f t="shared" ref="E66:E97" si="13">PROPER(Umlaut(FixSpacing(B66),1))&amp;": "&amp;PROPER(Umlaut(FixSpacing(C66),1))&amp;IF(D66="",""," "&amp;D66)</f>
        <v>#VALUE!</v>
      </c>
      <c r="F66" t="str">
        <f t="shared" ref="F66:F97" si="14">A66&amp;"/"&amp;B66</f>
        <v>/paket/ablieferung/ordnungssystem/ordnungssystemposition</v>
      </c>
      <c r="G66" t="s">
        <v>269</v>
      </c>
    </row>
    <row r="67" spans="1:7" x14ac:dyDescent="0.3">
      <c r="A67" t="str">
        <f t="shared" si="12"/>
        <v>/paket/ablieferung/ordnungssystem</v>
      </c>
      <c r="B67" s="20" t="s">
        <v>32</v>
      </c>
      <c r="C67" t="s">
        <v>80</v>
      </c>
      <c r="E67" t="e">
        <f t="shared" si="13"/>
        <v>#VALUE!</v>
      </c>
      <c r="F67" t="str">
        <f t="shared" si="14"/>
        <v>/paket/ablieferung/ordnungssystem/ordnungssystemposition</v>
      </c>
      <c r="G67" t="s">
        <v>269</v>
      </c>
    </row>
    <row r="68" spans="1:7" x14ac:dyDescent="0.3">
      <c r="A68" t="str">
        <f t="shared" si="12"/>
        <v>/paket/ablieferung/ordnungssystem</v>
      </c>
      <c r="B68" s="20" t="s">
        <v>32</v>
      </c>
      <c r="C68" t="s">
        <v>73</v>
      </c>
      <c r="E68" t="e">
        <f t="shared" si="13"/>
        <v>#VALUE!</v>
      </c>
      <c r="F68" t="str">
        <f t="shared" si="14"/>
        <v>/paket/ablieferung/ordnungssystem/ordnungssystemposition</v>
      </c>
      <c r="G68" t="s">
        <v>269</v>
      </c>
    </row>
    <row r="69" spans="1:7" x14ac:dyDescent="0.3">
      <c r="A69" t="str">
        <f t="shared" si="12"/>
        <v>/paket/ablieferung/ordnungssystem</v>
      </c>
      <c r="B69" s="20" t="s">
        <v>32</v>
      </c>
      <c r="C69" t="s">
        <v>169</v>
      </c>
      <c r="E69" t="e">
        <f t="shared" si="13"/>
        <v>#VALUE!</v>
      </c>
      <c r="F69" t="str">
        <f t="shared" si="14"/>
        <v>/paket/ablieferung/ordnungssystem/ordnungssystemposition</v>
      </c>
      <c r="G69" t="s">
        <v>269</v>
      </c>
    </row>
    <row r="70" spans="1:7" x14ac:dyDescent="0.3">
      <c r="A70" t="str">
        <f t="shared" si="12"/>
        <v>/paket/ablieferung/ordnungssystem</v>
      </c>
      <c r="B70" s="20" t="s">
        <v>32</v>
      </c>
      <c r="C70" t="s">
        <v>170</v>
      </c>
      <c r="E70" t="e">
        <f t="shared" si="13"/>
        <v>#VALUE!</v>
      </c>
      <c r="F70" t="str">
        <f t="shared" si="14"/>
        <v>/paket/ablieferung/ordnungssystem/ordnungssystemposition</v>
      </c>
      <c r="G70" t="s">
        <v>269</v>
      </c>
    </row>
    <row r="71" spans="1:7" x14ac:dyDescent="0.3">
      <c r="A71" t="str">
        <f t="shared" si="12"/>
        <v>/paket/ablieferung/ordnungssystem</v>
      </c>
      <c r="B71" s="20" t="s">
        <v>32</v>
      </c>
      <c r="C71" t="s">
        <v>175</v>
      </c>
      <c r="E71" t="e">
        <f t="shared" si="13"/>
        <v>#VALUE!</v>
      </c>
      <c r="F71" t="str">
        <f t="shared" si="14"/>
        <v>/paket/ablieferung/ordnungssystem/ordnungssystemposition</v>
      </c>
      <c r="G71" t="s">
        <v>269</v>
      </c>
    </row>
    <row r="72" spans="1:7" x14ac:dyDescent="0.3">
      <c r="A72" t="str">
        <f t="shared" si="12"/>
        <v>/paket/ablieferung/ordnungssystem</v>
      </c>
      <c r="B72" s="20" t="s">
        <v>32</v>
      </c>
      <c r="C72" t="s">
        <v>74</v>
      </c>
      <c r="E72" t="e">
        <f t="shared" si="13"/>
        <v>#VALUE!</v>
      </c>
      <c r="F72" t="str">
        <f t="shared" si="14"/>
        <v>/paket/ablieferung/ordnungssystem/ordnungssystemposition</v>
      </c>
      <c r="G72" t="s">
        <v>269</v>
      </c>
    </row>
    <row r="73" spans="1:7" x14ac:dyDescent="0.3">
      <c r="A73" t="str">
        <f t="shared" si="12"/>
        <v>/paket/ablieferung/ordnungssystem</v>
      </c>
      <c r="B73" s="20" t="s">
        <v>32</v>
      </c>
      <c r="C73" t="s">
        <v>75</v>
      </c>
      <c r="E73" t="e">
        <f t="shared" si="13"/>
        <v>#VALUE!</v>
      </c>
      <c r="F73" t="str">
        <f t="shared" si="14"/>
        <v>/paket/ablieferung/ordnungssystem/ordnungssystemposition</v>
      </c>
      <c r="G73" t="s">
        <v>269</v>
      </c>
    </row>
    <row r="74" spans="1:7" x14ac:dyDescent="0.3">
      <c r="A74" t="str">
        <f t="shared" si="12"/>
        <v>/paket/ablieferung/ordnungssystem</v>
      </c>
      <c r="B74" s="20" t="s">
        <v>32</v>
      </c>
      <c r="C74" t="s">
        <v>76</v>
      </c>
      <c r="E74" t="e">
        <f t="shared" si="13"/>
        <v>#VALUE!</v>
      </c>
      <c r="F74" t="str">
        <f t="shared" si="14"/>
        <v>/paket/ablieferung/ordnungssystem/ordnungssystemposition</v>
      </c>
      <c r="G74" t="s">
        <v>269</v>
      </c>
    </row>
    <row r="75" spans="1:7" x14ac:dyDescent="0.3">
      <c r="A75" t="str">
        <f t="shared" si="12"/>
        <v>/paket/ablieferung/ordnungssystem</v>
      </c>
      <c r="B75" s="20" t="s">
        <v>32</v>
      </c>
      <c r="C75" t="s">
        <v>77</v>
      </c>
      <c r="E75" t="e">
        <f t="shared" si="13"/>
        <v>#VALUE!</v>
      </c>
      <c r="F75" t="str">
        <f t="shared" si="14"/>
        <v>/paket/ablieferung/ordnungssystem/ordnungssystemposition</v>
      </c>
      <c r="G75" t="s">
        <v>269</v>
      </c>
    </row>
    <row r="76" spans="1:7" x14ac:dyDescent="0.3">
      <c r="A76" t="str">
        <f t="shared" si="12"/>
        <v>/paket/ablieferung/ordnungssystem</v>
      </c>
      <c r="B76" s="20" t="s">
        <v>32</v>
      </c>
      <c r="C76" t="s">
        <v>78</v>
      </c>
      <c r="E76" t="e">
        <f t="shared" si="13"/>
        <v>#VALUE!</v>
      </c>
      <c r="F76" t="str">
        <f t="shared" si="14"/>
        <v>/paket/ablieferung/ordnungssystem/ordnungssystemposition</v>
      </c>
      <c r="G76" t="s">
        <v>269</v>
      </c>
    </row>
    <row r="77" spans="1:7" x14ac:dyDescent="0.3">
      <c r="A77" t="str">
        <f t="shared" si="12"/>
        <v>/paket/ablieferung/ordnungssystem</v>
      </c>
      <c r="B77" s="20" t="s">
        <v>32</v>
      </c>
      <c r="C77" t="s">
        <v>59</v>
      </c>
      <c r="E77" t="e">
        <f t="shared" si="13"/>
        <v>#VALUE!</v>
      </c>
      <c r="F77" t="str">
        <f t="shared" si="14"/>
        <v>/paket/ablieferung/ordnungssystem/ordnungssystemposition</v>
      </c>
      <c r="G77" t="s">
        <v>269</v>
      </c>
    </row>
    <row r="78" spans="1:7" x14ac:dyDescent="0.3">
      <c r="A78" t="str">
        <f t="shared" si="12"/>
        <v>/paket/ablieferung/ordnungssystem</v>
      </c>
      <c r="B78" s="20" t="s">
        <v>32</v>
      </c>
      <c r="C78" s="20" t="s">
        <v>32</v>
      </c>
      <c r="E78" t="e">
        <f t="shared" si="13"/>
        <v>#VALUE!</v>
      </c>
      <c r="F78" t="str">
        <f t="shared" si="14"/>
        <v>/paket/ablieferung/ordnungssystem/ordnungssystemposition</v>
      </c>
      <c r="G78" t="s">
        <v>269</v>
      </c>
    </row>
    <row r="79" spans="1:7" x14ac:dyDescent="0.3">
      <c r="A79" t="str">
        <f t="shared" si="12"/>
        <v>/paket/ablieferung/ordnungssystem</v>
      </c>
      <c r="B79" s="20" t="s">
        <v>32</v>
      </c>
      <c r="C79" s="21" t="s">
        <v>35</v>
      </c>
      <c r="E79" t="e">
        <f t="shared" si="13"/>
        <v>#VALUE!</v>
      </c>
      <c r="F79" t="str">
        <f t="shared" si="14"/>
        <v>/paket/ablieferung/ordnungssystem/ordnungssystemposition</v>
      </c>
      <c r="G79" t="s">
        <v>269</v>
      </c>
    </row>
    <row r="80" spans="1:7" x14ac:dyDescent="0.3">
      <c r="A80" t="str">
        <f t="shared" si="12"/>
        <v>/paket/ablieferung/ordnungssystem</v>
      </c>
      <c r="B80" s="20" t="s">
        <v>32</v>
      </c>
      <c r="C80" s="16" t="s">
        <v>40</v>
      </c>
      <c r="E80" t="e">
        <f t="shared" si="13"/>
        <v>#VALUE!</v>
      </c>
      <c r="F80" t="str">
        <f t="shared" si="14"/>
        <v>/paket/ablieferung/ordnungssystem/ordnungssystemposition</v>
      </c>
      <c r="G80" t="s">
        <v>269</v>
      </c>
    </row>
    <row r="81" spans="1:7" x14ac:dyDescent="0.3">
      <c r="A81" t="str">
        <f t="shared" si="12"/>
        <v>/paket/ablieferung/ordnungssystem</v>
      </c>
      <c r="B81" s="20" t="s">
        <v>32</v>
      </c>
      <c r="C81" s="17" t="s">
        <v>56</v>
      </c>
      <c r="E81" t="e">
        <f t="shared" si="13"/>
        <v>#VALUE!</v>
      </c>
      <c r="F81" t="str">
        <f t="shared" si="14"/>
        <v>/paket/ablieferung/ordnungssystem/ordnungssystemposition</v>
      </c>
      <c r="G81" t="s">
        <v>269</v>
      </c>
    </row>
    <row r="82" spans="1:7" x14ac:dyDescent="0.3">
      <c r="A82" t="str">
        <f t="shared" ref="A82:A115" si="15">F$79</f>
        <v>/paket/ablieferung/ordnungssystem/ordnungssystemposition</v>
      </c>
      <c r="B82" s="21" t="s">
        <v>35</v>
      </c>
      <c r="C82" t="s">
        <v>154</v>
      </c>
      <c r="E82" t="e">
        <f t="shared" si="13"/>
        <v>#VALUE!</v>
      </c>
      <c r="F82" t="str">
        <f t="shared" si="14"/>
        <v>/paket/ablieferung/ordnungssystem/ordnungssystemposition/dossier</v>
      </c>
      <c r="G82" t="s">
        <v>269</v>
      </c>
    </row>
    <row r="83" spans="1:7" x14ac:dyDescent="0.3">
      <c r="A83" t="str">
        <f t="shared" si="15"/>
        <v>/paket/ablieferung/ordnungssystem/ordnungssystemposition</v>
      </c>
      <c r="B83" s="21" t="s">
        <v>35</v>
      </c>
      <c r="C83" t="s">
        <v>153</v>
      </c>
      <c r="E83" t="e">
        <f t="shared" si="13"/>
        <v>#VALUE!</v>
      </c>
      <c r="F83" t="str">
        <f t="shared" si="14"/>
        <v>/paket/ablieferung/ordnungssystem/ordnungssystemposition/dossier</v>
      </c>
      <c r="G83" t="s">
        <v>269</v>
      </c>
    </row>
    <row r="84" spans="1:7" x14ac:dyDescent="0.3">
      <c r="A84" t="str">
        <f t="shared" si="15"/>
        <v>/paket/ablieferung/ordnungssystem/ordnungssystemposition</v>
      </c>
      <c r="B84" s="21" t="s">
        <v>35</v>
      </c>
      <c r="C84" t="s">
        <v>176</v>
      </c>
      <c r="E84" t="e">
        <f t="shared" si="13"/>
        <v>#VALUE!</v>
      </c>
      <c r="F84" t="str">
        <f t="shared" si="14"/>
        <v>/paket/ablieferung/ordnungssystem/ordnungssystemposition/dossier</v>
      </c>
      <c r="G84" t="s">
        <v>269</v>
      </c>
    </row>
    <row r="85" spans="1:7" x14ac:dyDescent="0.3">
      <c r="A85" t="str">
        <f t="shared" si="15"/>
        <v>/paket/ablieferung/ordnungssystem/ordnungssystemposition</v>
      </c>
      <c r="B85" s="21" t="s">
        <v>35</v>
      </c>
      <c r="C85" t="s">
        <v>79</v>
      </c>
      <c r="E85" t="e">
        <f t="shared" si="13"/>
        <v>#VALUE!</v>
      </c>
      <c r="F85" t="str">
        <f t="shared" si="14"/>
        <v>/paket/ablieferung/ordnungssystem/ordnungssystemposition/dossier</v>
      </c>
      <c r="G85" t="s">
        <v>269</v>
      </c>
    </row>
    <row r="86" spans="1:7" x14ac:dyDescent="0.3">
      <c r="A86" t="str">
        <f t="shared" si="15"/>
        <v>/paket/ablieferung/ordnungssystem/ordnungssystemposition</v>
      </c>
      <c r="B86" s="21" t="s">
        <v>35</v>
      </c>
      <c r="C86" t="s">
        <v>80</v>
      </c>
      <c r="E86" t="e">
        <f t="shared" si="13"/>
        <v>#VALUE!</v>
      </c>
      <c r="F86" t="str">
        <f t="shared" si="14"/>
        <v>/paket/ablieferung/ordnungssystem/ordnungssystemposition/dossier</v>
      </c>
      <c r="G86" t="s">
        <v>269</v>
      </c>
    </row>
    <row r="87" spans="1:7" x14ac:dyDescent="0.3">
      <c r="A87" t="str">
        <f t="shared" si="15"/>
        <v>/paket/ablieferung/ordnungssystem/ordnungssystemposition</v>
      </c>
      <c r="B87" s="21" t="s">
        <v>35</v>
      </c>
      <c r="C87" t="s">
        <v>81</v>
      </c>
      <c r="E87" t="e">
        <f t="shared" si="13"/>
        <v>#VALUE!</v>
      </c>
      <c r="F87" t="str">
        <f t="shared" si="14"/>
        <v>/paket/ablieferung/ordnungssystem/ordnungssystemposition/dossier</v>
      </c>
      <c r="G87" t="s">
        <v>269</v>
      </c>
    </row>
    <row r="88" spans="1:7" x14ac:dyDescent="0.3">
      <c r="A88" t="str">
        <f t="shared" si="15"/>
        <v>/paket/ablieferung/ordnungssystem/ordnungssystemposition</v>
      </c>
      <c r="B88" s="21" t="s">
        <v>35</v>
      </c>
      <c r="C88" t="s">
        <v>82</v>
      </c>
      <c r="E88" t="e">
        <f t="shared" si="13"/>
        <v>#VALUE!</v>
      </c>
      <c r="F88" t="str">
        <f t="shared" si="14"/>
        <v>/paket/ablieferung/ordnungssystem/ordnungssystemposition/dossier</v>
      </c>
      <c r="G88" t="s">
        <v>269</v>
      </c>
    </row>
    <row r="89" spans="1:7" x14ac:dyDescent="0.3">
      <c r="A89" t="str">
        <f t="shared" si="15"/>
        <v>/paket/ablieferung/ordnungssystem/ordnungssystemposition</v>
      </c>
      <c r="B89" s="21" t="s">
        <v>35</v>
      </c>
      <c r="C89" t="s">
        <v>178</v>
      </c>
      <c r="E89" t="e">
        <f t="shared" si="13"/>
        <v>#VALUE!</v>
      </c>
      <c r="F89" t="str">
        <f t="shared" si="14"/>
        <v>/paket/ablieferung/ordnungssystem/ordnungssystemposition/dossier</v>
      </c>
      <c r="G89" t="s">
        <v>269</v>
      </c>
    </row>
    <row r="90" spans="1:7" x14ac:dyDescent="0.3">
      <c r="A90" t="str">
        <f t="shared" si="15"/>
        <v>/paket/ablieferung/ordnungssystem/ordnungssystemposition</v>
      </c>
      <c r="B90" s="21" t="s">
        <v>35</v>
      </c>
      <c r="C90" t="s">
        <v>83</v>
      </c>
      <c r="E90" t="e">
        <f t="shared" si="13"/>
        <v>#VALUE!</v>
      </c>
      <c r="F90" t="str">
        <f t="shared" si="14"/>
        <v>/paket/ablieferung/ordnungssystem/ordnungssystemposition/dossier</v>
      </c>
      <c r="G90" t="s">
        <v>269</v>
      </c>
    </row>
    <row r="91" spans="1:7" x14ac:dyDescent="0.3">
      <c r="A91" t="str">
        <f t="shared" si="15"/>
        <v>/paket/ablieferung/ordnungssystem/ordnungssystemposition</v>
      </c>
      <c r="B91" s="21" t="s">
        <v>35</v>
      </c>
      <c r="C91" t="s">
        <v>73</v>
      </c>
      <c r="E91" t="e">
        <f t="shared" si="13"/>
        <v>#VALUE!</v>
      </c>
      <c r="F91" t="str">
        <f t="shared" si="14"/>
        <v>/paket/ablieferung/ordnungssystem/ordnungssystemposition/dossier</v>
      </c>
      <c r="G91" t="s">
        <v>269</v>
      </c>
    </row>
    <row r="92" spans="1:7" x14ac:dyDescent="0.3">
      <c r="A92" t="str">
        <f t="shared" si="15"/>
        <v>/paket/ablieferung/ordnungssystem/ordnungssystemposition</v>
      </c>
      <c r="B92" s="21" t="s">
        <v>35</v>
      </c>
      <c r="C92" t="s">
        <v>88</v>
      </c>
      <c r="E92" t="e">
        <f t="shared" si="13"/>
        <v>#VALUE!</v>
      </c>
      <c r="F92" t="str">
        <f t="shared" si="14"/>
        <v>/paket/ablieferung/ordnungssystem/ordnungssystemposition/dossier</v>
      </c>
      <c r="G92" t="s">
        <v>269</v>
      </c>
    </row>
    <row r="93" spans="1:7" x14ac:dyDescent="0.3">
      <c r="A93" t="str">
        <f t="shared" si="15"/>
        <v>/paket/ablieferung/ordnungssystem/ordnungssystemposition</v>
      </c>
      <c r="B93" s="21" t="s">
        <v>35</v>
      </c>
      <c r="C93" t="s">
        <v>88</v>
      </c>
      <c r="D93" t="s">
        <v>266</v>
      </c>
      <c r="E93" t="e">
        <f t="shared" si="13"/>
        <v>#VALUE!</v>
      </c>
      <c r="F93" t="str">
        <f t="shared" si="14"/>
        <v>/paket/ablieferung/ordnungssystem/ordnungssystemposition/dossier</v>
      </c>
      <c r="G93" t="s">
        <v>269</v>
      </c>
    </row>
    <row r="94" spans="1:7" x14ac:dyDescent="0.3">
      <c r="A94" t="str">
        <f t="shared" si="15"/>
        <v>/paket/ablieferung/ordnungssystem/ordnungssystemposition</v>
      </c>
      <c r="B94" s="21" t="s">
        <v>35</v>
      </c>
      <c r="C94" t="s">
        <v>145</v>
      </c>
      <c r="E94" t="e">
        <f t="shared" si="13"/>
        <v>#VALUE!</v>
      </c>
      <c r="F94" t="str">
        <f t="shared" si="14"/>
        <v>/paket/ablieferung/ordnungssystem/ordnungssystemposition/dossier</v>
      </c>
      <c r="G94" t="s">
        <v>269</v>
      </c>
    </row>
    <row r="95" spans="1:7" x14ac:dyDescent="0.3">
      <c r="A95" t="str">
        <f t="shared" si="15"/>
        <v>/paket/ablieferung/ordnungssystem/ordnungssystemposition</v>
      </c>
      <c r="B95" s="21" t="s">
        <v>35</v>
      </c>
      <c r="C95" t="s">
        <v>145</v>
      </c>
      <c r="D95" t="s">
        <v>266</v>
      </c>
      <c r="E95" t="e">
        <f t="shared" si="13"/>
        <v>#VALUE!</v>
      </c>
      <c r="F95" t="str">
        <f t="shared" si="14"/>
        <v>/paket/ablieferung/ordnungssystem/ordnungssystemposition/dossier</v>
      </c>
      <c r="G95" t="s">
        <v>269</v>
      </c>
    </row>
    <row r="96" spans="1:7" x14ac:dyDescent="0.3">
      <c r="A96" t="str">
        <f t="shared" si="15"/>
        <v>/paket/ablieferung/ordnungssystem/ordnungssystemposition</v>
      </c>
      <c r="B96" s="21" t="s">
        <v>35</v>
      </c>
      <c r="C96" t="s">
        <v>62</v>
      </c>
      <c r="D96" t="s">
        <v>267</v>
      </c>
      <c r="E96" t="e">
        <f t="shared" si="13"/>
        <v>#VALUE!</v>
      </c>
      <c r="F96" t="str">
        <f t="shared" si="14"/>
        <v>/paket/ablieferung/ordnungssystem/ordnungssystemposition/dossier</v>
      </c>
      <c r="G96" t="s">
        <v>269</v>
      </c>
    </row>
    <row r="97" spans="1:7" x14ac:dyDescent="0.3">
      <c r="A97" t="str">
        <f t="shared" si="15"/>
        <v>/paket/ablieferung/ordnungssystem/ordnungssystemposition</v>
      </c>
      <c r="B97" s="21" t="s">
        <v>35</v>
      </c>
      <c r="C97" t="s">
        <v>62</v>
      </c>
      <c r="D97" t="s">
        <v>268</v>
      </c>
      <c r="E97" t="e">
        <f t="shared" si="13"/>
        <v>#VALUE!</v>
      </c>
      <c r="F97" t="str">
        <f t="shared" si="14"/>
        <v>/paket/ablieferung/ordnungssystem/ordnungssystemposition/dossier</v>
      </c>
      <c r="G97" t="s">
        <v>269</v>
      </c>
    </row>
    <row r="98" spans="1:7" x14ac:dyDescent="0.3">
      <c r="A98" t="str">
        <f t="shared" si="15"/>
        <v>/paket/ablieferung/ordnungssystem/ordnungssystemposition</v>
      </c>
      <c r="B98" s="21" t="s">
        <v>35</v>
      </c>
      <c r="C98" t="s">
        <v>62</v>
      </c>
      <c r="D98" t="s">
        <v>266</v>
      </c>
      <c r="E98" t="e">
        <f t="shared" ref="E98:E129" si="16">PROPER(Umlaut(FixSpacing(B98),1))&amp;": "&amp;PROPER(Umlaut(FixSpacing(C98),1))&amp;IF(D98="",""," "&amp;D98)</f>
        <v>#VALUE!</v>
      </c>
      <c r="F98" t="str">
        <f t="shared" ref="F98:F129" si="17">A98&amp;"/"&amp;B98</f>
        <v>/paket/ablieferung/ordnungssystem/ordnungssystemposition/dossier</v>
      </c>
      <c r="G98" t="s">
        <v>269</v>
      </c>
    </row>
    <row r="99" spans="1:7" x14ac:dyDescent="0.3">
      <c r="A99" t="str">
        <f t="shared" si="15"/>
        <v>/paket/ablieferung/ordnungssystem/ordnungssystemposition</v>
      </c>
      <c r="B99" s="21" t="s">
        <v>35</v>
      </c>
      <c r="C99" t="s">
        <v>84</v>
      </c>
      <c r="E99" t="e">
        <f t="shared" si="16"/>
        <v>#VALUE!</v>
      </c>
      <c r="F99" t="str">
        <f t="shared" si="17"/>
        <v>/paket/ablieferung/ordnungssystem/ordnungssystemposition/dossier</v>
      </c>
      <c r="G99" t="s">
        <v>269</v>
      </c>
    </row>
    <row r="100" spans="1:7" x14ac:dyDescent="0.3">
      <c r="A100" t="str">
        <f t="shared" si="15"/>
        <v>/paket/ablieferung/ordnungssystem/ordnungssystemposition</v>
      </c>
      <c r="B100" s="21" t="s">
        <v>35</v>
      </c>
      <c r="C100" t="s">
        <v>169</v>
      </c>
      <c r="E100" t="e">
        <f t="shared" si="16"/>
        <v>#VALUE!</v>
      </c>
      <c r="F100" t="str">
        <f t="shared" si="17"/>
        <v>/paket/ablieferung/ordnungssystem/ordnungssystemposition/dossier</v>
      </c>
      <c r="G100" t="s">
        <v>269</v>
      </c>
    </row>
    <row r="101" spans="1:7" x14ac:dyDescent="0.3">
      <c r="A101" t="str">
        <f t="shared" si="15"/>
        <v>/paket/ablieferung/ordnungssystem/ordnungssystemposition</v>
      </c>
      <c r="B101" s="21" t="s">
        <v>35</v>
      </c>
      <c r="C101" t="s">
        <v>170</v>
      </c>
      <c r="E101" t="e">
        <f t="shared" si="16"/>
        <v>#VALUE!</v>
      </c>
      <c r="F101" t="str">
        <f t="shared" si="17"/>
        <v>/paket/ablieferung/ordnungssystem/ordnungssystemposition/dossier</v>
      </c>
      <c r="G101" t="s">
        <v>269</v>
      </c>
    </row>
    <row r="102" spans="1:7" x14ac:dyDescent="0.3">
      <c r="A102" t="str">
        <f t="shared" si="15"/>
        <v>/paket/ablieferung/ordnungssystem/ordnungssystemposition</v>
      </c>
      <c r="B102" s="21" t="s">
        <v>35</v>
      </c>
      <c r="C102" t="s">
        <v>175</v>
      </c>
      <c r="E102" t="e">
        <f t="shared" si="16"/>
        <v>#VALUE!</v>
      </c>
      <c r="F102" t="str">
        <f t="shared" si="17"/>
        <v>/paket/ablieferung/ordnungssystem/ordnungssystemposition/dossier</v>
      </c>
      <c r="G102" t="s">
        <v>269</v>
      </c>
    </row>
    <row r="103" spans="1:7" x14ac:dyDescent="0.3">
      <c r="A103" t="str">
        <f t="shared" si="15"/>
        <v>/paket/ablieferung/ordnungssystem/ordnungssystemposition</v>
      </c>
      <c r="B103" s="21" t="s">
        <v>35</v>
      </c>
      <c r="C103" t="s">
        <v>74</v>
      </c>
      <c r="E103" t="e">
        <f t="shared" si="16"/>
        <v>#VALUE!</v>
      </c>
      <c r="F103" t="str">
        <f t="shared" si="17"/>
        <v>/paket/ablieferung/ordnungssystem/ordnungssystemposition/dossier</v>
      </c>
      <c r="G103" t="s">
        <v>269</v>
      </c>
    </row>
    <row r="104" spans="1:7" x14ac:dyDescent="0.3">
      <c r="A104" t="str">
        <f t="shared" si="15"/>
        <v>/paket/ablieferung/ordnungssystem/ordnungssystemposition</v>
      </c>
      <c r="B104" s="21" t="s">
        <v>35</v>
      </c>
      <c r="C104" t="s">
        <v>75</v>
      </c>
      <c r="E104" t="e">
        <f t="shared" si="16"/>
        <v>#VALUE!</v>
      </c>
      <c r="F104" t="str">
        <f t="shared" si="17"/>
        <v>/paket/ablieferung/ordnungssystem/ordnungssystemposition/dossier</v>
      </c>
      <c r="G104" t="s">
        <v>269</v>
      </c>
    </row>
    <row r="105" spans="1:7" x14ac:dyDescent="0.3">
      <c r="A105" t="str">
        <f t="shared" si="15"/>
        <v>/paket/ablieferung/ordnungssystem/ordnungssystemposition</v>
      </c>
      <c r="B105" s="21" t="s">
        <v>35</v>
      </c>
      <c r="C105" t="s">
        <v>76</v>
      </c>
      <c r="E105" t="e">
        <f t="shared" si="16"/>
        <v>#VALUE!</v>
      </c>
      <c r="F105" t="str">
        <f t="shared" si="17"/>
        <v>/paket/ablieferung/ordnungssystem/ordnungssystemposition/dossier</v>
      </c>
      <c r="G105" t="s">
        <v>269</v>
      </c>
    </row>
    <row r="106" spans="1:7" x14ac:dyDescent="0.3">
      <c r="A106" t="str">
        <f t="shared" si="15"/>
        <v>/paket/ablieferung/ordnungssystem/ordnungssystemposition</v>
      </c>
      <c r="B106" s="21" t="s">
        <v>35</v>
      </c>
      <c r="C106" t="s">
        <v>77</v>
      </c>
      <c r="E106" t="e">
        <f t="shared" si="16"/>
        <v>#VALUE!</v>
      </c>
      <c r="F106" t="str">
        <f t="shared" si="17"/>
        <v>/paket/ablieferung/ordnungssystem/ordnungssystemposition/dossier</v>
      </c>
      <c r="G106" t="s">
        <v>269</v>
      </c>
    </row>
    <row r="107" spans="1:7" x14ac:dyDescent="0.3">
      <c r="A107" t="str">
        <f t="shared" si="15"/>
        <v>/paket/ablieferung/ordnungssystem/ordnungssystemposition</v>
      </c>
      <c r="B107" s="21" t="s">
        <v>35</v>
      </c>
      <c r="C107" t="s">
        <v>78</v>
      </c>
      <c r="E107" t="e">
        <f t="shared" si="16"/>
        <v>#VALUE!</v>
      </c>
      <c r="F107" t="str">
        <f t="shared" si="17"/>
        <v>/paket/ablieferung/ordnungssystem/ordnungssystemposition/dossier</v>
      </c>
      <c r="G107" t="s">
        <v>269</v>
      </c>
    </row>
    <row r="108" spans="1:7" x14ac:dyDescent="0.3">
      <c r="A108" t="str">
        <f t="shared" si="15"/>
        <v>/paket/ablieferung/ordnungssystem/ordnungssystemposition</v>
      </c>
      <c r="B108" s="21" t="s">
        <v>35</v>
      </c>
      <c r="C108" t="s">
        <v>64</v>
      </c>
      <c r="E108" t="e">
        <f t="shared" si="16"/>
        <v>#VALUE!</v>
      </c>
      <c r="F108" t="str">
        <f t="shared" si="17"/>
        <v>/paket/ablieferung/ordnungssystem/ordnungssystemposition/dossier</v>
      </c>
      <c r="G108" t="s">
        <v>269</v>
      </c>
    </row>
    <row r="109" spans="1:7" x14ac:dyDescent="0.3">
      <c r="A109" t="str">
        <f t="shared" si="15"/>
        <v>/paket/ablieferung/ordnungssystem/ordnungssystemposition</v>
      </c>
      <c r="B109" s="21" t="s">
        <v>35</v>
      </c>
      <c r="C109" s="22" t="s">
        <v>52</v>
      </c>
      <c r="E109" t="e">
        <f t="shared" si="16"/>
        <v>#VALUE!</v>
      </c>
      <c r="F109" t="str">
        <f t="shared" si="17"/>
        <v>/paket/ablieferung/ordnungssystem/ordnungssystemposition/dossier</v>
      </c>
      <c r="G109" t="s">
        <v>269</v>
      </c>
    </row>
    <row r="110" spans="1:7" x14ac:dyDescent="0.3">
      <c r="A110" t="str">
        <f t="shared" si="15"/>
        <v>/paket/ablieferung/ordnungssystem/ordnungssystemposition</v>
      </c>
      <c r="B110" s="21" t="s">
        <v>35</v>
      </c>
      <c r="C110" t="s">
        <v>59</v>
      </c>
      <c r="E110" t="e">
        <f t="shared" si="16"/>
        <v>#VALUE!</v>
      </c>
      <c r="F110" t="str">
        <f t="shared" si="17"/>
        <v>/paket/ablieferung/ordnungssystem/ordnungssystemposition/dossier</v>
      </c>
      <c r="G110" t="s">
        <v>269</v>
      </c>
    </row>
    <row r="111" spans="1:7" x14ac:dyDescent="0.3">
      <c r="A111" t="str">
        <f t="shared" si="15"/>
        <v>/paket/ablieferung/ordnungssystem/ordnungssystemposition</v>
      </c>
      <c r="B111" s="21" t="s">
        <v>35</v>
      </c>
      <c r="C111" t="s">
        <v>35</v>
      </c>
      <c r="E111" t="e">
        <f t="shared" si="16"/>
        <v>#VALUE!</v>
      </c>
      <c r="F111" t="str">
        <f t="shared" si="17"/>
        <v>/paket/ablieferung/ordnungssystem/ordnungssystemposition/dossier</v>
      </c>
      <c r="G111" t="s">
        <v>269</v>
      </c>
    </row>
    <row r="112" spans="1:7" x14ac:dyDescent="0.3">
      <c r="A112" t="str">
        <f t="shared" si="15"/>
        <v>/paket/ablieferung/ordnungssystem/ordnungssystemposition</v>
      </c>
      <c r="B112" s="21" t="s">
        <v>35</v>
      </c>
      <c r="C112" s="23" t="s">
        <v>177</v>
      </c>
      <c r="E112" t="e">
        <f t="shared" si="16"/>
        <v>#VALUE!</v>
      </c>
      <c r="F112" t="str">
        <f t="shared" si="17"/>
        <v>/paket/ablieferung/ordnungssystem/ordnungssystemposition/dossier</v>
      </c>
      <c r="G112" t="s">
        <v>269</v>
      </c>
    </row>
    <row r="113" spans="1:7" x14ac:dyDescent="0.3">
      <c r="A113" t="str">
        <f t="shared" si="15"/>
        <v>/paket/ablieferung/ordnungssystem/ordnungssystemposition</v>
      </c>
      <c r="B113" s="21" t="s">
        <v>35</v>
      </c>
      <c r="C113" s="16" t="s">
        <v>40</v>
      </c>
      <c r="E113" t="e">
        <f t="shared" si="16"/>
        <v>#VALUE!</v>
      </c>
      <c r="F113" t="str">
        <f t="shared" si="17"/>
        <v>/paket/ablieferung/ordnungssystem/ordnungssystemposition/dossier</v>
      </c>
      <c r="G113" t="s">
        <v>269</v>
      </c>
    </row>
    <row r="114" spans="1:7" x14ac:dyDescent="0.3">
      <c r="A114" t="str">
        <f t="shared" si="15"/>
        <v>/paket/ablieferung/ordnungssystem/ordnungssystemposition</v>
      </c>
      <c r="B114" s="21" t="s">
        <v>35</v>
      </c>
      <c r="C114" s="24" t="s">
        <v>47</v>
      </c>
      <c r="E114" t="e">
        <f t="shared" si="16"/>
        <v>#VALUE!</v>
      </c>
      <c r="F114" t="str">
        <f t="shared" si="17"/>
        <v>/paket/ablieferung/ordnungssystem/ordnungssystemposition/dossier</v>
      </c>
      <c r="G114" t="s">
        <v>269</v>
      </c>
    </row>
    <row r="115" spans="1:7" x14ac:dyDescent="0.3">
      <c r="A115" t="str">
        <f t="shared" si="15"/>
        <v>/paket/ablieferung/ordnungssystem/ordnungssystemposition</v>
      </c>
      <c r="B115" s="21" t="s">
        <v>35</v>
      </c>
      <c r="C115" s="17" t="s">
        <v>56</v>
      </c>
      <c r="E115" t="e">
        <f t="shared" si="16"/>
        <v>#VALUE!</v>
      </c>
      <c r="F115" t="str">
        <f t="shared" si="17"/>
        <v>/paket/ablieferung/ordnungssystem/ordnungssystemposition/dossier</v>
      </c>
      <c r="G115" t="s">
        <v>269</v>
      </c>
    </row>
    <row r="116" spans="1:7" x14ac:dyDescent="0.3">
      <c r="A116" t="str">
        <f>F$112</f>
        <v>/paket/ablieferung/ordnungssystem/ordnungssystemposition/dossier</v>
      </c>
      <c r="B116" s="23" t="s">
        <v>177</v>
      </c>
      <c r="C116" t="s">
        <v>153</v>
      </c>
      <c r="E116" t="e">
        <f t="shared" si="16"/>
        <v>#VALUE!</v>
      </c>
      <c r="F116" t="str">
        <f t="shared" si="17"/>
        <v>/paket/ablieferung/ordnungssystem/ordnungssystemposition/dossier/vorgang</v>
      </c>
      <c r="G116" t="s">
        <v>269</v>
      </c>
    </row>
    <row r="117" spans="1:7" x14ac:dyDescent="0.3">
      <c r="A117" t="str">
        <f t="shared" ref="A117:A123" si="18">F$112</f>
        <v>/paket/ablieferung/ordnungssystem/ordnungssystemposition/dossier</v>
      </c>
      <c r="B117" s="23" t="s">
        <v>177</v>
      </c>
      <c r="C117" t="s">
        <v>80</v>
      </c>
      <c r="E117" t="e">
        <f t="shared" si="16"/>
        <v>#VALUE!</v>
      </c>
      <c r="F117" t="str">
        <f t="shared" si="17"/>
        <v>/paket/ablieferung/ordnungssystem/ordnungssystemposition/dossier/vorgang</v>
      </c>
      <c r="G117" t="s">
        <v>269</v>
      </c>
    </row>
    <row r="118" spans="1:7" x14ac:dyDescent="0.3">
      <c r="A118" t="str">
        <f t="shared" si="18"/>
        <v>/paket/ablieferung/ordnungssystem/ordnungssystemposition/dossier</v>
      </c>
      <c r="B118" s="23" t="s">
        <v>177</v>
      </c>
      <c r="C118" t="s">
        <v>85</v>
      </c>
      <c r="E118" t="e">
        <f t="shared" si="16"/>
        <v>#VALUE!</v>
      </c>
      <c r="F118" t="str">
        <f t="shared" si="17"/>
        <v>/paket/ablieferung/ordnungssystem/ordnungssystemposition/dossier/vorgang</v>
      </c>
      <c r="G118" t="s">
        <v>269</v>
      </c>
    </row>
    <row r="119" spans="1:7" x14ac:dyDescent="0.3">
      <c r="A119" t="str">
        <f t="shared" si="18"/>
        <v>/paket/ablieferung/ordnungssystem/ordnungssystemposition/dossier</v>
      </c>
      <c r="B119" s="23" t="s">
        <v>177</v>
      </c>
      <c r="C119" t="s">
        <v>86</v>
      </c>
      <c r="E119" t="e">
        <f t="shared" si="16"/>
        <v>#VALUE!</v>
      </c>
      <c r="F119" t="str">
        <f t="shared" si="17"/>
        <v>/paket/ablieferung/ordnungssystem/ordnungssystemposition/dossier/vorgang</v>
      </c>
      <c r="G119" t="s">
        <v>269</v>
      </c>
    </row>
    <row r="120" spans="1:7" x14ac:dyDescent="0.3">
      <c r="A120" t="str">
        <f t="shared" si="18"/>
        <v>/paket/ablieferung/ordnungssystem/ordnungssystemposition/dossier</v>
      </c>
      <c r="B120" s="23" t="s">
        <v>177</v>
      </c>
      <c r="C120" t="s">
        <v>87</v>
      </c>
      <c r="E120" t="e">
        <f t="shared" si="16"/>
        <v>#VALUE!</v>
      </c>
      <c r="F120" t="str">
        <f t="shared" si="17"/>
        <v>/paket/ablieferung/ordnungssystem/ordnungssystemposition/dossier/vorgang</v>
      </c>
      <c r="G120" t="s">
        <v>269</v>
      </c>
    </row>
    <row r="121" spans="1:7" x14ac:dyDescent="0.3">
      <c r="A121" t="str">
        <f t="shared" si="18"/>
        <v>/paket/ablieferung/ordnungssystem/ordnungssystemposition/dossier</v>
      </c>
      <c r="B121" s="23" t="s">
        <v>177</v>
      </c>
      <c r="C121" t="s">
        <v>64</v>
      </c>
      <c r="E121" t="e">
        <f t="shared" si="16"/>
        <v>#VALUE!</v>
      </c>
      <c r="F121" t="str">
        <f t="shared" si="17"/>
        <v>/paket/ablieferung/ordnungssystem/ordnungssystemposition/dossier/vorgang</v>
      </c>
      <c r="G121" t="s">
        <v>269</v>
      </c>
    </row>
    <row r="122" spans="1:7" x14ac:dyDescent="0.3">
      <c r="A122" t="str">
        <f t="shared" si="18"/>
        <v>/paket/ablieferung/ordnungssystem/ordnungssystemposition/dossier</v>
      </c>
      <c r="B122" s="23" t="s">
        <v>177</v>
      </c>
      <c r="C122" t="s">
        <v>59</v>
      </c>
      <c r="E122" t="e">
        <f t="shared" si="16"/>
        <v>#VALUE!</v>
      </c>
      <c r="F122" t="str">
        <f t="shared" si="17"/>
        <v>/paket/ablieferung/ordnungssystem/ordnungssystemposition/dossier/vorgang</v>
      </c>
      <c r="G122" t="s">
        <v>269</v>
      </c>
    </row>
    <row r="123" spans="1:7" x14ac:dyDescent="0.3">
      <c r="A123" t="str">
        <f t="shared" si="18"/>
        <v>/paket/ablieferung/ordnungssystem/ordnungssystemposition/dossier</v>
      </c>
      <c r="B123" s="23" t="s">
        <v>177</v>
      </c>
      <c r="C123" s="25" t="s">
        <v>39</v>
      </c>
      <c r="E123" t="e">
        <f t="shared" si="16"/>
        <v>#VALUE!</v>
      </c>
      <c r="F123" t="str">
        <f t="shared" si="17"/>
        <v>/paket/ablieferung/ordnungssystem/ordnungssystemposition/dossier/vorgang</v>
      </c>
      <c r="G123" t="s">
        <v>269</v>
      </c>
    </row>
    <row r="124" spans="1:7" x14ac:dyDescent="0.3">
      <c r="A124" t="str">
        <f>F$123</f>
        <v>/paket/ablieferung/ordnungssystem/ordnungssystemposition/dossier/vorgang</v>
      </c>
      <c r="B124" s="25" t="s">
        <v>39</v>
      </c>
      <c r="C124" t="s">
        <v>153</v>
      </c>
      <c r="E124" t="e">
        <f t="shared" si="16"/>
        <v>#VALUE!</v>
      </c>
      <c r="F124" t="str">
        <f t="shared" si="17"/>
        <v>/paket/ablieferung/ordnungssystem/ordnungssystemposition/dossier/vorgang/aktivitaet</v>
      </c>
      <c r="G124" t="s">
        <v>269</v>
      </c>
    </row>
    <row r="125" spans="1:7" x14ac:dyDescent="0.3">
      <c r="A125" t="str">
        <f t="shared" ref="A125:A131" si="19">F$123</f>
        <v>/paket/ablieferung/ordnungssystem/ordnungssystemposition/dossier/vorgang</v>
      </c>
      <c r="B125" s="25" t="s">
        <v>39</v>
      </c>
      <c r="C125" t="s">
        <v>143</v>
      </c>
      <c r="E125" t="e">
        <f t="shared" si="16"/>
        <v>#VALUE!</v>
      </c>
      <c r="F125" t="str">
        <f t="shared" si="17"/>
        <v>/paket/ablieferung/ordnungssystem/ordnungssystemposition/dossier/vorgang/aktivitaet</v>
      </c>
      <c r="G125" t="s">
        <v>269</v>
      </c>
    </row>
    <row r="126" spans="1:7" x14ac:dyDescent="0.3">
      <c r="A126" t="str">
        <f t="shared" si="19"/>
        <v>/paket/ablieferung/ordnungssystem/ordnungssystemposition/dossier/vorgang</v>
      </c>
      <c r="B126" s="25" t="s">
        <v>39</v>
      </c>
      <c r="C126" t="s">
        <v>144</v>
      </c>
      <c r="E126" t="e">
        <f t="shared" si="16"/>
        <v>#VALUE!</v>
      </c>
      <c r="F126" t="str">
        <f t="shared" si="17"/>
        <v>/paket/ablieferung/ordnungssystem/ordnungssystemposition/dossier/vorgang/aktivitaet</v>
      </c>
      <c r="G126" t="s">
        <v>269</v>
      </c>
    </row>
    <row r="127" spans="1:7" x14ac:dyDescent="0.3">
      <c r="A127" t="str">
        <f t="shared" si="19"/>
        <v>/paket/ablieferung/ordnungssystem/ordnungssystemposition/dossier/vorgang</v>
      </c>
      <c r="B127" s="25" t="s">
        <v>39</v>
      </c>
      <c r="C127" t="s">
        <v>99</v>
      </c>
      <c r="E127" t="e">
        <f t="shared" si="16"/>
        <v>#VALUE!</v>
      </c>
      <c r="F127" t="str">
        <f t="shared" si="17"/>
        <v>/paket/ablieferung/ordnungssystem/ordnungssystemposition/dossier/vorgang/aktivitaet</v>
      </c>
      <c r="G127" t="s">
        <v>269</v>
      </c>
    </row>
    <row r="128" spans="1:7" x14ac:dyDescent="0.3">
      <c r="A128" t="str">
        <f t="shared" si="19"/>
        <v>/paket/ablieferung/ordnungssystem/ordnungssystemposition/dossier/vorgang</v>
      </c>
      <c r="B128" s="25" t="s">
        <v>39</v>
      </c>
      <c r="C128" t="s">
        <v>145</v>
      </c>
      <c r="E128" t="e">
        <f t="shared" si="16"/>
        <v>#VALUE!</v>
      </c>
      <c r="F128" t="str">
        <f t="shared" si="17"/>
        <v>/paket/ablieferung/ordnungssystem/ordnungssystemposition/dossier/vorgang/aktivitaet</v>
      </c>
      <c r="G128" t="s">
        <v>269</v>
      </c>
    </row>
    <row r="129" spans="1:7" x14ac:dyDescent="0.3">
      <c r="A129" t="str">
        <f t="shared" si="19"/>
        <v>/paket/ablieferung/ordnungssystem/ordnungssystemposition/dossier/vorgang</v>
      </c>
      <c r="B129" s="25" t="s">
        <v>39</v>
      </c>
      <c r="C129" t="s">
        <v>87</v>
      </c>
      <c r="E129" t="e">
        <f t="shared" si="16"/>
        <v>#VALUE!</v>
      </c>
      <c r="F129" t="str">
        <f t="shared" si="17"/>
        <v>/paket/ablieferung/ordnungssystem/ordnungssystemposition/dossier/vorgang/aktivitaet</v>
      </c>
      <c r="G129" t="s">
        <v>269</v>
      </c>
    </row>
    <row r="130" spans="1:7" x14ac:dyDescent="0.3">
      <c r="A130" t="str">
        <f t="shared" si="19"/>
        <v>/paket/ablieferung/ordnungssystem/ordnungssystemposition/dossier/vorgang</v>
      </c>
      <c r="B130" s="25" t="s">
        <v>39</v>
      </c>
      <c r="C130" t="s">
        <v>64</v>
      </c>
      <c r="E130" t="e">
        <f t="shared" ref="E130:E161" si="20">PROPER(Umlaut(FixSpacing(B130),1))&amp;": "&amp;PROPER(Umlaut(FixSpacing(C130),1))&amp;IF(D130="",""," "&amp;D130)</f>
        <v>#VALUE!</v>
      </c>
      <c r="F130" t="str">
        <f t="shared" ref="F130:F161" si="21">A130&amp;"/"&amp;B130</f>
        <v>/paket/ablieferung/ordnungssystem/ordnungssystemposition/dossier/vorgang/aktivitaet</v>
      </c>
      <c r="G130" t="s">
        <v>269</v>
      </c>
    </row>
    <row r="131" spans="1:7" x14ac:dyDescent="0.3">
      <c r="A131" t="str">
        <f t="shared" si="19"/>
        <v>/paket/ablieferung/ordnungssystem/ordnungssystemposition/dossier/vorgang</v>
      </c>
      <c r="B131" s="25" t="s">
        <v>39</v>
      </c>
      <c r="C131" t="s">
        <v>59</v>
      </c>
      <c r="E131" t="e">
        <f t="shared" si="20"/>
        <v>#VALUE!</v>
      </c>
      <c r="F131" t="str">
        <f t="shared" si="21"/>
        <v>/paket/ablieferung/ordnungssystem/ordnungssystemposition/dossier/vorgang/aktivitaet</v>
      </c>
      <c r="G131" t="s">
        <v>269</v>
      </c>
    </row>
    <row r="132" spans="1:7" x14ac:dyDescent="0.3">
      <c r="A132" t="str">
        <f>F$114</f>
        <v>/paket/ablieferung/ordnungssystem/ordnungssystemposition/dossier</v>
      </c>
      <c r="B132" s="24" t="s">
        <v>47</v>
      </c>
      <c r="C132" t="s">
        <v>154</v>
      </c>
      <c r="E132" t="e">
        <f t="shared" si="20"/>
        <v>#VALUE!</v>
      </c>
      <c r="F132" t="str">
        <f t="shared" si="21"/>
        <v>/paket/ablieferung/ordnungssystem/ordnungssystemposition/dossier/dokument</v>
      </c>
      <c r="G132" t="s">
        <v>269</v>
      </c>
    </row>
    <row r="133" spans="1:7" x14ac:dyDescent="0.3">
      <c r="A133" t="str">
        <f t="shared" ref="A133:A151" si="22">F$114</f>
        <v>/paket/ablieferung/ordnungssystem/ordnungssystemposition/dossier</v>
      </c>
      <c r="B133" s="24" t="s">
        <v>47</v>
      </c>
      <c r="C133" t="s">
        <v>153</v>
      </c>
      <c r="E133" t="e">
        <f t="shared" si="20"/>
        <v>#VALUE!</v>
      </c>
      <c r="F133" t="str">
        <f t="shared" si="21"/>
        <v>/paket/ablieferung/ordnungssystem/ordnungssystemposition/dossier/dokument</v>
      </c>
      <c r="G133" t="s">
        <v>269</v>
      </c>
    </row>
    <row r="134" spans="1:7" x14ac:dyDescent="0.3">
      <c r="A134" t="str">
        <f t="shared" si="22"/>
        <v>/paket/ablieferung/ordnungssystem/ordnungssystemposition/dossier</v>
      </c>
      <c r="B134" s="24" t="s">
        <v>47</v>
      </c>
      <c r="C134" t="s">
        <v>80</v>
      </c>
      <c r="E134" t="e">
        <f t="shared" si="20"/>
        <v>#VALUE!</v>
      </c>
      <c r="F134" t="str">
        <f t="shared" si="21"/>
        <v>/paket/ablieferung/ordnungssystem/ordnungssystemposition/dossier/dokument</v>
      </c>
      <c r="G134" t="s">
        <v>269</v>
      </c>
    </row>
    <row r="135" spans="1:7" x14ac:dyDescent="0.3">
      <c r="A135" t="str">
        <f t="shared" si="22"/>
        <v>/paket/ablieferung/ordnungssystem/ordnungssystemposition/dossier</v>
      </c>
      <c r="B135" s="24" t="s">
        <v>47</v>
      </c>
      <c r="C135" t="s">
        <v>89</v>
      </c>
      <c r="E135" t="e">
        <f t="shared" si="20"/>
        <v>#VALUE!</v>
      </c>
      <c r="F135" t="str">
        <f t="shared" si="21"/>
        <v>/paket/ablieferung/ordnungssystem/ordnungssystemposition/dossier/dokument</v>
      </c>
      <c r="G135" t="s">
        <v>269</v>
      </c>
    </row>
    <row r="136" spans="1:7" x14ac:dyDescent="0.3">
      <c r="A136" t="str">
        <f t="shared" si="22"/>
        <v>/paket/ablieferung/ordnungssystem/ordnungssystemposition/dossier</v>
      </c>
      <c r="B136" s="24" t="s">
        <v>47</v>
      </c>
      <c r="C136" t="s">
        <v>83</v>
      </c>
      <c r="E136" t="e">
        <f t="shared" si="20"/>
        <v>#VALUE!</v>
      </c>
      <c r="F136" t="str">
        <f t="shared" si="21"/>
        <v>/paket/ablieferung/ordnungssystem/ordnungssystemposition/dossier/dokument</v>
      </c>
      <c r="G136" t="s">
        <v>269</v>
      </c>
    </row>
    <row r="137" spans="1:7" x14ac:dyDescent="0.3">
      <c r="A137" t="str">
        <f t="shared" si="22"/>
        <v>/paket/ablieferung/ordnungssystem/ordnungssystemposition/dossier</v>
      </c>
      <c r="B137" s="24" t="s">
        <v>47</v>
      </c>
      <c r="C137" t="s">
        <v>265</v>
      </c>
      <c r="E137" t="e">
        <f t="shared" si="20"/>
        <v>#VALUE!</v>
      </c>
      <c r="F137" t="str">
        <f t="shared" si="21"/>
        <v>/paket/ablieferung/ordnungssystem/ordnungssystemposition/dossier/dokument</v>
      </c>
      <c r="G137" t="s">
        <v>269</v>
      </c>
    </row>
    <row r="138" spans="1:7" x14ac:dyDescent="0.3">
      <c r="A138" t="str">
        <f t="shared" si="22"/>
        <v>/paket/ablieferung/ordnungssystem/ordnungssystemposition/dossier</v>
      </c>
      <c r="B138" s="24" t="s">
        <v>47</v>
      </c>
      <c r="C138" t="s">
        <v>179</v>
      </c>
      <c r="E138" t="e">
        <f t="shared" si="20"/>
        <v>#VALUE!</v>
      </c>
      <c r="F138" t="str">
        <f t="shared" si="21"/>
        <v>/paket/ablieferung/ordnungssystem/ordnungssystemposition/dossier/dokument</v>
      </c>
      <c r="G138" t="s">
        <v>269</v>
      </c>
    </row>
    <row r="139" spans="1:7" x14ac:dyDescent="0.3">
      <c r="A139" t="str">
        <f t="shared" si="22"/>
        <v>/paket/ablieferung/ordnungssystem/ordnungssystemposition/dossier</v>
      </c>
      <c r="B139" s="24" t="s">
        <v>47</v>
      </c>
      <c r="C139" t="s">
        <v>91</v>
      </c>
      <c r="E139" t="e">
        <f t="shared" si="20"/>
        <v>#VALUE!</v>
      </c>
      <c r="F139" t="str">
        <f t="shared" si="21"/>
        <v>/paket/ablieferung/ordnungssystem/ordnungssystemposition/dossier/dokument</v>
      </c>
      <c r="G139" t="s">
        <v>269</v>
      </c>
    </row>
    <row r="140" spans="1:7" x14ac:dyDescent="0.3">
      <c r="A140" t="str">
        <f t="shared" ref="A140:A141" si="23">F$114</f>
        <v>/paket/ablieferung/ordnungssystem/ordnungssystemposition/dossier</v>
      </c>
      <c r="B140" s="24" t="s">
        <v>47</v>
      </c>
      <c r="C140" t="s">
        <v>62</v>
      </c>
      <c r="D140" t="s">
        <v>267</v>
      </c>
      <c r="E140" t="e">
        <f t="shared" si="20"/>
        <v>#VALUE!</v>
      </c>
      <c r="F140" t="str">
        <f t="shared" si="21"/>
        <v>/paket/ablieferung/ordnungssystem/ordnungssystemposition/dossier/dokument</v>
      </c>
      <c r="G140" t="s">
        <v>269</v>
      </c>
    </row>
    <row r="141" spans="1:7" x14ac:dyDescent="0.3">
      <c r="A141" t="str">
        <f t="shared" si="23"/>
        <v>/paket/ablieferung/ordnungssystem/ordnungssystemposition/dossier</v>
      </c>
      <c r="B141" s="24" t="s">
        <v>47</v>
      </c>
      <c r="C141" t="s">
        <v>62</v>
      </c>
      <c r="D141" t="s">
        <v>268</v>
      </c>
      <c r="E141" t="e">
        <f t="shared" si="20"/>
        <v>#VALUE!</v>
      </c>
      <c r="F141" t="str">
        <f t="shared" si="21"/>
        <v>/paket/ablieferung/ordnungssystem/ordnungssystemposition/dossier/dokument</v>
      </c>
      <c r="G141" t="s">
        <v>269</v>
      </c>
    </row>
    <row r="142" spans="1:7" x14ac:dyDescent="0.3">
      <c r="A142" t="str">
        <f t="shared" si="22"/>
        <v>/paket/ablieferung/ordnungssystem/ordnungssystemposition/dossier</v>
      </c>
      <c r="B142" s="24" t="s">
        <v>47</v>
      </c>
      <c r="C142" t="s">
        <v>62</v>
      </c>
      <c r="D142" t="s">
        <v>266</v>
      </c>
      <c r="E142" t="e">
        <f t="shared" si="20"/>
        <v>#VALUE!</v>
      </c>
      <c r="F142" t="str">
        <f t="shared" si="21"/>
        <v>/paket/ablieferung/ordnungssystem/ordnungssystemposition/dossier/dokument</v>
      </c>
      <c r="G142" t="s">
        <v>269</v>
      </c>
    </row>
    <row r="143" spans="1:7" x14ac:dyDescent="0.3">
      <c r="A143" t="str">
        <f t="shared" si="22"/>
        <v>/paket/ablieferung/ordnungssystem/ordnungssystemposition/dossier</v>
      </c>
      <c r="B143" s="24" t="s">
        <v>47</v>
      </c>
      <c r="C143" t="s">
        <v>74</v>
      </c>
      <c r="E143" t="e">
        <f t="shared" si="20"/>
        <v>#VALUE!</v>
      </c>
      <c r="F143" t="str">
        <f t="shared" si="21"/>
        <v>/paket/ablieferung/ordnungssystem/ordnungssystemposition/dossier/dokument</v>
      </c>
      <c r="G143" t="s">
        <v>269</v>
      </c>
    </row>
    <row r="144" spans="1:7" x14ac:dyDescent="0.3">
      <c r="A144" t="str">
        <f t="shared" si="22"/>
        <v>/paket/ablieferung/ordnungssystem/ordnungssystemposition/dossier</v>
      </c>
      <c r="B144" s="24" t="s">
        <v>47</v>
      </c>
      <c r="C144" t="s">
        <v>75</v>
      </c>
      <c r="E144" t="e">
        <f t="shared" si="20"/>
        <v>#VALUE!</v>
      </c>
      <c r="F144" t="str">
        <f t="shared" si="21"/>
        <v>/paket/ablieferung/ordnungssystem/ordnungssystemposition/dossier/dokument</v>
      </c>
      <c r="G144" t="s">
        <v>269</v>
      </c>
    </row>
    <row r="145" spans="1:7" x14ac:dyDescent="0.3">
      <c r="A145" t="str">
        <f t="shared" si="22"/>
        <v>/paket/ablieferung/ordnungssystem/ordnungssystemposition/dossier</v>
      </c>
      <c r="B145" s="24" t="s">
        <v>47</v>
      </c>
      <c r="C145" t="s">
        <v>76</v>
      </c>
      <c r="E145" t="e">
        <f t="shared" si="20"/>
        <v>#VALUE!</v>
      </c>
      <c r="F145" t="str">
        <f t="shared" si="21"/>
        <v>/paket/ablieferung/ordnungssystem/ordnungssystemposition/dossier/dokument</v>
      </c>
      <c r="G145" t="s">
        <v>269</v>
      </c>
    </row>
    <row r="146" spans="1:7" x14ac:dyDescent="0.3">
      <c r="A146" t="str">
        <f t="shared" si="22"/>
        <v>/paket/ablieferung/ordnungssystem/ordnungssystemposition/dossier</v>
      </c>
      <c r="B146" s="24" t="s">
        <v>47</v>
      </c>
      <c r="C146" t="s">
        <v>77</v>
      </c>
      <c r="E146" t="e">
        <f t="shared" si="20"/>
        <v>#VALUE!</v>
      </c>
      <c r="F146" t="str">
        <f t="shared" si="21"/>
        <v>/paket/ablieferung/ordnungssystem/ordnungssystemposition/dossier/dokument</v>
      </c>
      <c r="G146" t="s">
        <v>269</v>
      </c>
    </row>
    <row r="147" spans="1:7" x14ac:dyDescent="0.3">
      <c r="A147" t="str">
        <f t="shared" si="22"/>
        <v>/paket/ablieferung/ordnungssystem/ordnungssystemposition/dossier</v>
      </c>
      <c r="B147" s="24" t="s">
        <v>47</v>
      </c>
      <c r="C147" t="s">
        <v>78</v>
      </c>
      <c r="E147" t="e">
        <f t="shared" si="20"/>
        <v>#VALUE!</v>
      </c>
      <c r="F147" t="str">
        <f t="shared" si="21"/>
        <v>/paket/ablieferung/ordnungssystem/ordnungssystemposition/dossier/dokument</v>
      </c>
      <c r="G147" t="s">
        <v>269</v>
      </c>
    </row>
    <row r="148" spans="1:7" x14ac:dyDescent="0.3">
      <c r="A148" t="str">
        <f t="shared" si="22"/>
        <v>/paket/ablieferung/ordnungssystem/ordnungssystemposition/dossier</v>
      </c>
      <c r="B148" s="24" t="s">
        <v>47</v>
      </c>
      <c r="C148" t="s">
        <v>64</v>
      </c>
      <c r="E148" t="e">
        <f t="shared" si="20"/>
        <v>#VALUE!</v>
      </c>
      <c r="F148" t="str">
        <f t="shared" si="21"/>
        <v>/paket/ablieferung/ordnungssystem/ordnungssystemposition/dossier/dokument</v>
      </c>
      <c r="G148" t="s">
        <v>269</v>
      </c>
    </row>
    <row r="149" spans="1:7" x14ac:dyDescent="0.3">
      <c r="A149" t="str">
        <f t="shared" si="22"/>
        <v>/paket/ablieferung/ordnungssystem/ordnungssystemposition/dossier</v>
      </c>
      <c r="B149" s="24" t="s">
        <v>47</v>
      </c>
      <c r="C149" s="22" t="s">
        <v>52</v>
      </c>
      <c r="E149" t="e">
        <f t="shared" si="20"/>
        <v>#VALUE!</v>
      </c>
      <c r="F149" t="str">
        <f t="shared" si="21"/>
        <v>/paket/ablieferung/ordnungssystem/ordnungssystemposition/dossier/dokument</v>
      </c>
      <c r="G149" t="s">
        <v>269</v>
      </c>
    </row>
    <row r="150" spans="1:7" x14ac:dyDescent="0.3">
      <c r="A150" t="str">
        <f t="shared" si="22"/>
        <v>/paket/ablieferung/ordnungssystem/ordnungssystemposition/dossier</v>
      </c>
      <c r="B150" s="24" t="s">
        <v>47</v>
      </c>
      <c r="C150" t="s">
        <v>59</v>
      </c>
      <c r="E150" t="e">
        <f t="shared" si="20"/>
        <v>#VALUE!</v>
      </c>
      <c r="F150" t="str">
        <f t="shared" si="21"/>
        <v>/paket/ablieferung/ordnungssystem/ordnungssystemposition/dossier/dokument</v>
      </c>
      <c r="G150" t="s">
        <v>269</v>
      </c>
    </row>
    <row r="151" spans="1:7" x14ac:dyDescent="0.3">
      <c r="A151" t="str">
        <f t="shared" si="22"/>
        <v>/paket/ablieferung/ordnungssystem/ordnungssystemposition/dossier</v>
      </c>
      <c r="B151" s="24" t="s">
        <v>47</v>
      </c>
      <c r="C151" s="17" t="s">
        <v>56</v>
      </c>
      <c r="E151" t="e">
        <f t="shared" si="20"/>
        <v>#VALUE!</v>
      </c>
      <c r="F151" t="str">
        <f t="shared" si="21"/>
        <v>/paket/ablieferung/ordnungssystem/ordnungssystemposition/dossier/dokument</v>
      </c>
      <c r="G151" t="s">
        <v>269</v>
      </c>
    </row>
    <row r="152" spans="1:7" x14ac:dyDescent="0.3">
      <c r="B152" s="16" t="s">
        <v>40</v>
      </c>
      <c r="C152" t="s">
        <v>154</v>
      </c>
      <c r="E152" t="e">
        <f t="shared" si="20"/>
        <v>#VALUE!</v>
      </c>
      <c r="F152" t="str">
        <f t="shared" si="21"/>
        <v>/mappe</v>
      </c>
    </row>
    <row r="153" spans="1:7" x14ac:dyDescent="0.3">
      <c r="B153" s="16" t="s">
        <v>40</v>
      </c>
      <c r="C153" t="s">
        <v>153</v>
      </c>
      <c r="E153" t="e">
        <f t="shared" si="20"/>
        <v>#VALUE!</v>
      </c>
      <c r="F153" t="str">
        <f t="shared" si="21"/>
        <v>/mappe</v>
      </c>
    </row>
    <row r="154" spans="1:7" x14ac:dyDescent="0.3">
      <c r="B154" s="16" t="s">
        <v>40</v>
      </c>
      <c r="C154" t="s">
        <v>80</v>
      </c>
      <c r="E154" t="e">
        <f t="shared" si="20"/>
        <v>#VALUE!</v>
      </c>
      <c r="F154" t="str">
        <f t="shared" si="21"/>
        <v>/mappe</v>
      </c>
    </row>
    <row r="155" spans="1:7" x14ac:dyDescent="0.3">
      <c r="B155" s="16" t="s">
        <v>40</v>
      </c>
      <c r="C155" t="s">
        <v>81</v>
      </c>
      <c r="E155" t="e">
        <f t="shared" si="20"/>
        <v>#VALUE!</v>
      </c>
      <c r="F155" t="str">
        <f t="shared" si="21"/>
        <v>/mappe</v>
      </c>
    </row>
    <row r="156" spans="1:7" x14ac:dyDescent="0.3">
      <c r="B156" s="16" t="s">
        <v>40</v>
      </c>
      <c r="C156" t="s">
        <v>88</v>
      </c>
      <c r="E156" t="e">
        <f t="shared" si="20"/>
        <v>#VALUE!</v>
      </c>
      <c r="F156" t="str">
        <f t="shared" si="21"/>
        <v>/mappe</v>
      </c>
    </row>
    <row r="157" spans="1:7" x14ac:dyDescent="0.3">
      <c r="B157" s="16" t="s">
        <v>40</v>
      </c>
      <c r="C157" t="s">
        <v>88</v>
      </c>
      <c r="D157" t="s">
        <v>266</v>
      </c>
      <c r="E157" t="e">
        <f t="shared" si="20"/>
        <v>#VALUE!</v>
      </c>
      <c r="F157" t="str">
        <f t="shared" si="21"/>
        <v>/mappe</v>
      </c>
    </row>
    <row r="158" spans="1:7" x14ac:dyDescent="0.3">
      <c r="B158" s="16" t="s">
        <v>40</v>
      </c>
      <c r="C158" t="s">
        <v>83</v>
      </c>
      <c r="E158" t="e">
        <f t="shared" si="20"/>
        <v>#VALUE!</v>
      </c>
      <c r="F158" t="str">
        <f t="shared" si="21"/>
        <v>/mappe</v>
      </c>
    </row>
    <row r="159" spans="1:7" x14ac:dyDescent="0.3">
      <c r="B159" s="16" t="s">
        <v>40</v>
      </c>
      <c r="C159" t="s">
        <v>64</v>
      </c>
      <c r="E159" t="e">
        <f t="shared" si="20"/>
        <v>#VALUE!</v>
      </c>
      <c r="F159" t="str">
        <f t="shared" si="21"/>
        <v>/mappe</v>
      </c>
    </row>
    <row r="160" spans="1:7" x14ac:dyDescent="0.3">
      <c r="B160" s="16" t="s">
        <v>40</v>
      </c>
      <c r="C160" s="22" t="s">
        <v>52</v>
      </c>
      <c r="E160" t="e">
        <f t="shared" si="20"/>
        <v>#VALUE!</v>
      </c>
      <c r="F160" t="str">
        <f t="shared" si="21"/>
        <v>/mappe</v>
      </c>
    </row>
    <row r="161" spans="1:6" x14ac:dyDescent="0.3">
      <c r="B161" s="16" t="s">
        <v>40</v>
      </c>
      <c r="C161" t="s">
        <v>59</v>
      </c>
      <c r="E161" t="e">
        <f t="shared" si="20"/>
        <v>#VALUE!</v>
      </c>
      <c r="F161" t="str">
        <f t="shared" si="21"/>
        <v>/mappe</v>
      </c>
    </row>
    <row r="162" spans="1:6" x14ac:dyDescent="0.3">
      <c r="B162" s="16" t="s">
        <v>40</v>
      </c>
      <c r="C162" t="s">
        <v>32</v>
      </c>
      <c r="E162" t="e">
        <f t="shared" ref="E162:E178" si="24">PROPER(Umlaut(FixSpacing(B162),1))&amp;": "&amp;PROPER(Umlaut(FixSpacing(C162),1))&amp;IF(D162="",""," "&amp;D162)</f>
        <v>#VALUE!</v>
      </c>
      <c r="F162" t="str">
        <f t="shared" ref="F162:F178" si="25">A162&amp;"/"&amp;B162</f>
        <v>/mappe</v>
      </c>
    </row>
    <row r="163" spans="1:6" x14ac:dyDescent="0.3">
      <c r="B163" s="16" t="s">
        <v>40</v>
      </c>
      <c r="C163" t="s">
        <v>35</v>
      </c>
      <c r="E163" t="e">
        <f t="shared" si="24"/>
        <v>#VALUE!</v>
      </c>
      <c r="F163" t="str">
        <f t="shared" si="25"/>
        <v>/mappe</v>
      </c>
    </row>
    <row r="164" spans="1:6" x14ac:dyDescent="0.3">
      <c r="B164" s="16" t="s">
        <v>40</v>
      </c>
      <c r="C164" s="16" t="s">
        <v>40</v>
      </c>
      <c r="E164" t="e">
        <f t="shared" si="24"/>
        <v>#VALUE!</v>
      </c>
      <c r="F164" t="str">
        <f t="shared" si="25"/>
        <v>/mappe</v>
      </c>
    </row>
    <row r="165" spans="1:6" x14ac:dyDescent="0.3">
      <c r="B165" s="16" t="s">
        <v>40</v>
      </c>
      <c r="C165" t="s">
        <v>47</v>
      </c>
      <c r="E165" t="e">
        <f t="shared" si="24"/>
        <v>#VALUE!</v>
      </c>
      <c r="F165" t="str">
        <f t="shared" si="25"/>
        <v>/mappe</v>
      </c>
    </row>
    <row r="166" spans="1:6" x14ac:dyDescent="0.3">
      <c r="B166" s="16" t="s">
        <v>40</v>
      </c>
      <c r="C166" t="s">
        <v>53</v>
      </c>
      <c r="E166" t="e">
        <f t="shared" si="24"/>
        <v>#VALUE!</v>
      </c>
      <c r="F166" t="str">
        <f t="shared" si="25"/>
        <v>/mappe</v>
      </c>
    </row>
    <row r="167" spans="1:6" x14ac:dyDescent="0.3">
      <c r="B167" s="22" t="s">
        <v>52</v>
      </c>
      <c r="C167" t="s">
        <v>0</v>
      </c>
      <c r="E167" t="e">
        <f t="shared" si="24"/>
        <v>#VALUE!</v>
      </c>
      <c r="F167" t="str">
        <f t="shared" si="25"/>
        <v>/dateiRef</v>
      </c>
    </row>
    <row r="168" spans="1:6" x14ac:dyDescent="0.3">
      <c r="B168" s="22" t="s">
        <v>52</v>
      </c>
      <c r="C168" t="s">
        <v>202</v>
      </c>
      <c r="E168" t="e">
        <f t="shared" si="24"/>
        <v>#VALUE!</v>
      </c>
      <c r="F168" t="str">
        <f t="shared" si="25"/>
        <v>/dateiRef</v>
      </c>
    </row>
    <row r="169" spans="1:6" x14ac:dyDescent="0.3">
      <c r="B169" s="22" t="s">
        <v>52</v>
      </c>
      <c r="C169" t="s">
        <v>203</v>
      </c>
      <c r="E169" t="e">
        <f t="shared" si="24"/>
        <v>#VALUE!</v>
      </c>
      <c r="F169" t="str">
        <f t="shared" si="25"/>
        <v>/dateiRef</v>
      </c>
    </row>
    <row r="170" spans="1:6" x14ac:dyDescent="0.3">
      <c r="B170" s="22" t="s">
        <v>52</v>
      </c>
      <c r="C170" t="s">
        <v>153</v>
      </c>
      <c r="E170" t="e">
        <f t="shared" si="24"/>
        <v>#VALUE!</v>
      </c>
      <c r="F170" t="str">
        <f t="shared" si="25"/>
        <v>/dateiRef</v>
      </c>
    </row>
    <row r="171" spans="1:6" x14ac:dyDescent="0.3">
      <c r="A171" t="str">
        <f>F$8</f>
        <v>/paket</v>
      </c>
      <c r="B171" s="12" t="s">
        <v>55</v>
      </c>
      <c r="C171" t="s">
        <v>96</v>
      </c>
      <c r="E171" t="e">
        <f t="shared" si="24"/>
        <v>#VALUE!</v>
      </c>
      <c r="F171" t="str">
        <f t="shared" si="25"/>
        <v>/paket/archivischerVorgang</v>
      </c>
    </row>
    <row r="172" spans="1:6" x14ac:dyDescent="0.3">
      <c r="A172" t="str">
        <f t="shared" ref="A172:A174" si="26">F$8</f>
        <v>/paket</v>
      </c>
      <c r="B172" s="12" t="s">
        <v>55</v>
      </c>
      <c r="C172" t="s">
        <v>97</v>
      </c>
      <c r="E172" t="e">
        <f t="shared" si="24"/>
        <v>#VALUE!</v>
      </c>
      <c r="F172" t="str">
        <f t="shared" si="25"/>
        <v>/paket/archivischerVorgang</v>
      </c>
    </row>
    <row r="173" spans="1:6" x14ac:dyDescent="0.3">
      <c r="A173" t="str">
        <f t="shared" si="26"/>
        <v>/paket</v>
      </c>
      <c r="B173" s="12" t="s">
        <v>55</v>
      </c>
      <c r="C173" t="s">
        <v>98</v>
      </c>
      <c r="E173" t="e">
        <f t="shared" si="24"/>
        <v>#VALUE!</v>
      </c>
      <c r="F173" t="str">
        <f t="shared" si="25"/>
        <v>/paket/archivischerVorgang</v>
      </c>
    </row>
    <row r="174" spans="1:6" x14ac:dyDescent="0.3">
      <c r="A174" t="str">
        <f t="shared" si="26"/>
        <v>/paket</v>
      </c>
      <c r="B174" s="12" t="s">
        <v>55</v>
      </c>
      <c r="C174" t="s">
        <v>99</v>
      </c>
      <c r="E174" t="e">
        <f t="shared" si="24"/>
        <v>#VALUE!</v>
      </c>
      <c r="F174" t="str">
        <f t="shared" si="25"/>
        <v>/paket/archivischerVorgang</v>
      </c>
    </row>
    <row r="175" spans="1:6" x14ac:dyDescent="0.3">
      <c r="B175" s="13" t="s">
        <v>56</v>
      </c>
      <c r="C175" t="s">
        <v>154</v>
      </c>
      <c r="E175" t="e">
        <f t="shared" si="24"/>
        <v>#VALUE!</v>
      </c>
      <c r="F175" t="str">
        <f t="shared" si="25"/>
        <v>/archivischeNotiz</v>
      </c>
    </row>
    <row r="176" spans="1:6" x14ac:dyDescent="0.3">
      <c r="B176" s="13" t="s">
        <v>56</v>
      </c>
      <c r="C176" t="s">
        <v>100</v>
      </c>
      <c r="E176" t="e">
        <f t="shared" si="24"/>
        <v>#VALUE!</v>
      </c>
      <c r="F176" t="str">
        <f t="shared" si="25"/>
        <v>/archivischeNotiz</v>
      </c>
    </row>
    <row r="177" spans="2:6" x14ac:dyDescent="0.3">
      <c r="B177" s="13" t="s">
        <v>56</v>
      </c>
      <c r="C177" t="s">
        <v>101</v>
      </c>
      <c r="E177" t="e">
        <f t="shared" si="24"/>
        <v>#VALUE!</v>
      </c>
      <c r="F177" t="str">
        <f t="shared" si="25"/>
        <v>/archivischeNotiz</v>
      </c>
    </row>
    <row r="178" spans="2:6" x14ac:dyDescent="0.3">
      <c r="B178" s="13" t="s">
        <v>56</v>
      </c>
      <c r="C178" t="s">
        <v>102</v>
      </c>
      <c r="E178" t="e">
        <f t="shared" si="24"/>
        <v>#VALUE!</v>
      </c>
      <c r="F178" t="str">
        <f t="shared" si="25"/>
        <v>/archivischeNotiz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78"/>
  <sheetViews>
    <sheetView tabSelected="1" zoomScaleNormal="100" workbookViewId="0">
      <selection activeCell="E5" sqref="E5"/>
    </sheetView>
  </sheetViews>
  <sheetFormatPr baseColWidth="10" defaultRowHeight="14.4" x14ac:dyDescent="0.3"/>
  <cols>
    <col min="1" max="1" width="34" bestFit="1" customWidth="1"/>
    <col min="2" max="2" width="23.109375" bestFit="1" customWidth="1"/>
    <col min="3" max="3" width="28.44140625" style="1" bestFit="1" customWidth="1"/>
    <col min="5" max="5" width="42.44140625" bestFit="1" customWidth="1"/>
    <col min="6" max="6" width="57.44140625" bestFit="1" customWidth="1"/>
    <col min="7" max="7" width="15.6640625" bestFit="1" customWidth="1"/>
    <col min="9" max="9" width="22.6640625" bestFit="1" customWidth="1"/>
  </cols>
  <sheetData>
    <row r="1" spans="1:10" s="3" customFormat="1" x14ac:dyDescent="0.3">
      <c r="A1" s="3" t="s">
        <v>262</v>
      </c>
      <c r="B1" s="3" t="s">
        <v>263</v>
      </c>
      <c r="C1" s="27" t="s">
        <v>210</v>
      </c>
      <c r="D1" s="3" t="s">
        <v>213</v>
      </c>
      <c r="E1" s="3" t="s">
        <v>211</v>
      </c>
      <c r="F1" s="3" t="s">
        <v>212</v>
      </c>
      <c r="G1" s="3" t="s">
        <v>261</v>
      </c>
    </row>
    <row r="2" spans="1:10" x14ac:dyDescent="0.3">
      <c r="B2" t="s">
        <v>20</v>
      </c>
      <c r="C2" s="1" t="s">
        <v>152</v>
      </c>
      <c r="E2" t="str">
        <f t="shared" ref="E2:E33" si="0">PROPER(Umlaut(AddSpace(B2),1))&amp;": "&amp;PROPER(Umlaut(AddSpace(C2),1))&amp;IF(D2="",""," "&amp;D2)</f>
        <v>Paket: Schema Version</v>
      </c>
      <c r="F2" t="str">
        <f t="shared" ref="F2:F65" si="1">A2&amp;"/"&amp;B2</f>
        <v>/paket</v>
      </c>
      <c r="G2" t="s">
        <v>269</v>
      </c>
    </row>
    <row r="3" spans="1:10" x14ac:dyDescent="0.3">
      <c r="B3" t="s">
        <v>20</v>
      </c>
      <c r="C3" s="1" t="s">
        <v>58</v>
      </c>
      <c r="E3" t="str">
        <f t="shared" si="0"/>
        <v>Paket: Paket Typ</v>
      </c>
      <c r="F3" t="str">
        <f t="shared" si="1"/>
        <v>/paket</v>
      </c>
      <c r="G3" t="s">
        <v>269</v>
      </c>
    </row>
    <row r="4" spans="1:10" x14ac:dyDescent="0.3">
      <c r="B4" t="s">
        <v>20</v>
      </c>
      <c r="C4" s="1" t="s">
        <v>59</v>
      </c>
      <c r="E4" t="str">
        <f t="shared" si="0"/>
        <v>Paket: Zusatz Daten</v>
      </c>
      <c r="F4" t="str">
        <f t="shared" si="1"/>
        <v>/paket</v>
      </c>
      <c r="G4" t="s">
        <v>269</v>
      </c>
    </row>
    <row r="5" spans="1:10" x14ac:dyDescent="0.3">
      <c r="B5" t="s">
        <v>20</v>
      </c>
      <c r="C5" s="1" t="s">
        <v>164</v>
      </c>
      <c r="E5" t="str">
        <f t="shared" si="0"/>
        <v>Paket: Referenz Übernahmedossier</v>
      </c>
      <c r="F5" t="str">
        <f t="shared" si="1"/>
        <v>/paket</v>
      </c>
      <c r="G5" t="s">
        <v>269</v>
      </c>
      <c r="I5" t="str">
        <f>AddSpace(C5)</f>
        <v>referenz Uebernahmedossier</v>
      </c>
      <c r="J5" t="str">
        <f>Umlaut(I5,1)</f>
        <v>referenz Übernahmedossier</v>
      </c>
    </row>
    <row r="6" spans="1:10" x14ac:dyDescent="0.3">
      <c r="B6" t="s">
        <v>20</v>
      </c>
      <c r="C6" s="28" t="s">
        <v>22</v>
      </c>
      <c r="E6" t="str">
        <f t="shared" si="0"/>
        <v>Paket: Ablieferung</v>
      </c>
      <c r="F6" t="str">
        <f t="shared" si="1"/>
        <v>/paket</v>
      </c>
      <c r="G6" t="s">
        <v>274</v>
      </c>
    </row>
    <row r="7" spans="1:10" x14ac:dyDescent="0.3">
      <c r="B7" t="s">
        <v>20</v>
      </c>
      <c r="C7" s="29" t="s">
        <v>50</v>
      </c>
      <c r="E7" t="str">
        <f t="shared" si="0"/>
        <v>Paket: Inhaltsverzeichnis</v>
      </c>
      <c r="F7" t="str">
        <f t="shared" si="1"/>
        <v>/paket</v>
      </c>
      <c r="G7" t="s">
        <v>274</v>
      </c>
    </row>
    <row r="8" spans="1:10" x14ac:dyDescent="0.3">
      <c r="B8" t="s">
        <v>20</v>
      </c>
      <c r="C8" s="30" t="s">
        <v>55</v>
      </c>
      <c r="E8" t="str">
        <f t="shared" si="0"/>
        <v>Paket: Archivischer Vorgang</v>
      </c>
      <c r="F8" t="str">
        <f t="shared" si="1"/>
        <v>/paket</v>
      </c>
      <c r="G8" t="s">
        <v>274</v>
      </c>
    </row>
    <row r="9" spans="1:10" x14ac:dyDescent="0.3">
      <c r="B9" t="s">
        <v>20</v>
      </c>
      <c r="C9" s="31" t="s">
        <v>56</v>
      </c>
      <c r="E9" t="str">
        <f t="shared" si="0"/>
        <v>Paket: Archivische Notiz</v>
      </c>
      <c r="F9" t="str">
        <f t="shared" si="1"/>
        <v>/paket</v>
      </c>
      <c r="G9" t="s">
        <v>274</v>
      </c>
    </row>
    <row r="10" spans="1:10" x14ac:dyDescent="0.3">
      <c r="A10" t="str">
        <f>F$6</f>
        <v>/paket</v>
      </c>
      <c r="B10" s="10" t="s">
        <v>22</v>
      </c>
      <c r="C10" s="1" t="s">
        <v>165</v>
      </c>
      <c r="E10" t="str">
        <f t="shared" si="0"/>
        <v>Ablieferung: Ablieferungsnummer</v>
      </c>
      <c r="F10" t="str">
        <f t="shared" si="1"/>
        <v>/paket/ablieferung</v>
      </c>
      <c r="G10" t="s">
        <v>269</v>
      </c>
    </row>
    <row r="11" spans="1:10" x14ac:dyDescent="0.3">
      <c r="A11" t="str">
        <f t="shared" ref="A11:A27" si="2">F$6</f>
        <v>/paket</v>
      </c>
      <c r="B11" s="10" t="s">
        <v>22</v>
      </c>
      <c r="C11" s="1" t="s">
        <v>60</v>
      </c>
      <c r="E11" t="str">
        <f t="shared" si="0"/>
        <v>Ablieferung: Ablieferungstyp</v>
      </c>
      <c r="F11" t="str">
        <f t="shared" si="1"/>
        <v>/paket/ablieferung</v>
      </c>
      <c r="G11" t="s">
        <v>269</v>
      </c>
    </row>
    <row r="12" spans="1:10" x14ac:dyDescent="0.3">
      <c r="A12" t="str">
        <f t="shared" si="2"/>
        <v>/paket</v>
      </c>
      <c r="B12" s="10" t="s">
        <v>22</v>
      </c>
      <c r="C12" s="1" t="s">
        <v>166</v>
      </c>
      <c r="E12" t="str">
        <f t="shared" si="0"/>
        <v>Ablieferung: Angebotsnummer</v>
      </c>
      <c r="F12" t="str">
        <f t="shared" si="1"/>
        <v>/paket/ablieferung</v>
      </c>
      <c r="G12" t="s">
        <v>269</v>
      </c>
    </row>
    <row r="13" spans="1:10" x14ac:dyDescent="0.3">
      <c r="A13" t="str">
        <f t="shared" si="2"/>
        <v>/paket</v>
      </c>
      <c r="B13" s="10" t="s">
        <v>22</v>
      </c>
      <c r="C13" s="1" t="s">
        <v>61</v>
      </c>
      <c r="E13" t="str">
        <f t="shared" si="0"/>
        <v>Ablieferung: Abliefernde Stelle</v>
      </c>
      <c r="F13" t="str">
        <f t="shared" si="1"/>
        <v>/paket/ablieferung</v>
      </c>
      <c r="G13" t="s">
        <v>269</v>
      </c>
    </row>
    <row r="14" spans="1:10" x14ac:dyDescent="0.3">
      <c r="A14" t="str">
        <f t="shared" si="2"/>
        <v>/paket</v>
      </c>
      <c r="B14" s="10" t="s">
        <v>22</v>
      </c>
      <c r="C14" s="1" t="s">
        <v>62</v>
      </c>
      <c r="D14" t="s">
        <v>267</v>
      </c>
      <c r="E14" t="str">
        <f t="shared" si="0"/>
        <v>Ablieferung: Entstehungszeitraum von/datum</v>
      </c>
      <c r="F14" t="str">
        <f t="shared" si="1"/>
        <v>/paket/ablieferung</v>
      </c>
      <c r="G14" t="s">
        <v>269</v>
      </c>
    </row>
    <row r="15" spans="1:10" x14ac:dyDescent="0.3">
      <c r="A15" t="str">
        <f t="shared" si="2"/>
        <v>/paket</v>
      </c>
      <c r="B15" s="10" t="s">
        <v>22</v>
      </c>
      <c r="C15" s="1" t="s">
        <v>62</v>
      </c>
      <c r="D15" t="s">
        <v>268</v>
      </c>
      <c r="E15" t="str">
        <f t="shared" si="0"/>
        <v>Ablieferung: Entstehungszeitraum bis/datum</v>
      </c>
      <c r="F15" t="str">
        <f t="shared" si="1"/>
        <v>/paket/ablieferung</v>
      </c>
      <c r="G15" t="s">
        <v>269</v>
      </c>
    </row>
    <row r="16" spans="1:10" x14ac:dyDescent="0.3">
      <c r="A16" t="str">
        <f t="shared" si="2"/>
        <v>/paket</v>
      </c>
      <c r="B16" s="10" t="s">
        <v>22</v>
      </c>
      <c r="C16" s="1" t="s">
        <v>62</v>
      </c>
      <c r="D16" t="s">
        <v>266</v>
      </c>
      <c r="E16" t="str">
        <f t="shared" si="0"/>
        <v>Ablieferung: Entstehungszeitraum ca</v>
      </c>
      <c r="F16" t="str">
        <f t="shared" si="1"/>
        <v>/paket/ablieferung</v>
      </c>
      <c r="G16" t="s">
        <v>269</v>
      </c>
    </row>
    <row r="17" spans="1:7" x14ac:dyDescent="0.3">
      <c r="A17" t="str">
        <f t="shared" si="2"/>
        <v>/paket</v>
      </c>
      <c r="B17" s="10" t="s">
        <v>22</v>
      </c>
      <c r="C17" s="1" t="s">
        <v>167</v>
      </c>
      <c r="E17" t="str">
        <f t="shared" si="0"/>
        <v>Ablieferung: Referenz Bewertungsentscheid</v>
      </c>
      <c r="F17" t="str">
        <f t="shared" si="1"/>
        <v>/paket/ablieferung</v>
      </c>
      <c r="G17" t="s">
        <v>269</v>
      </c>
    </row>
    <row r="18" spans="1:7" x14ac:dyDescent="0.3">
      <c r="A18" t="str">
        <f t="shared" si="2"/>
        <v>/paket</v>
      </c>
      <c r="B18" s="10" t="s">
        <v>22</v>
      </c>
      <c r="C18" s="1" t="s">
        <v>168</v>
      </c>
      <c r="E18" t="str">
        <f t="shared" si="0"/>
        <v>Ablieferung: Referenz Schutzfristen Formular</v>
      </c>
      <c r="F18" t="str">
        <f t="shared" si="1"/>
        <v>/paket/ablieferung</v>
      </c>
      <c r="G18" t="s">
        <v>269</v>
      </c>
    </row>
    <row r="19" spans="1:7" x14ac:dyDescent="0.3">
      <c r="A19" t="str">
        <f t="shared" si="2"/>
        <v>/paket</v>
      </c>
      <c r="B19" s="10" t="s">
        <v>22</v>
      </c>
      <c r="C19" s="1" t="s">
        <v>169</v>
      </c>
      <c r="E19" t="str">
        <f t="shared" si="0"/>
        <v>Ablieferung: Schutzfristenkategorie</v>
      </c>
      <c r="F19" t="str">
        <f t="shared" si="1"/>
        <v>/paket/ablieferung</v>
      </c>
      <c r="G19" t="s">
        <v>269</v>
      </c>
    </row>
    <row r="20" spans="1:7" x14ac:dyDescent="0.3">
      <c r="A20" t="str">
        <f t="shared" si="2"/>
        <v>/paket</v>
      </c>
      <c r="B20" s="10" t="s">
        <v>22</v>
      </c>
      <c r="C20" s="1" t="s">
        <v>170</v>
      </c>
      <c r="E20" t="str">
        <f t="shared" si="0"/>
        <v>Ablieferung: Schutzfrist</v>
      </c>
      <c r="F20" t="str">
        <f t="shared" si="1"/>
        <v>/paket/ablieferung</v>
      </c>
      <c r="G20" t="s">
        <v>269</v>
      </c>
    </row>
    <row r="21" spans="1:7" x14ac:dyDescent="0.3">
      <c r="A21" t="str">
        <f t="shared" si="2"/>
        <v>/paket</v>
      </c>
      <c r="B21" s="10" t="s">
        <v>22</v>
      </c>
      <c r="C21" s="1" t="s">
        <v>63</v>
      </c>
      <c r="E21" t="str">
        <f t="shared" si="0"/>
        <v>Ablieferung: Ablieferungsteile</v>
      </c>
      <c r="F21" t="str">
        <f t="shared" si="1"/>
        <v>/paket/ablieferung</v>
      </c>
      <c r="G21" t="s">
        <v>269</v>
      </c>
    </row>
    <row r="22" spans="1:7" x14ac:dyDescent="0.3">
      <c r="A22" t="str">
        <f t="shared" si="2"/>
        <v>/paket</v>
      </c>
      <c r="B22" s="10" t="s">
        <v>22</v>
      </c>
      <c r="C22" s="1" t="s">
        <v>64</v>
      </c>
      <c r="E22" t="str">
        <f t="shared" si="0"/>
        <v>Ablieferung: Bemerkung</v>
      </c>
      <c r="F22" t="str">
        <f t="shared" si="1"/>
        <v>/paket/ablieferung</v>
      </c>
      <c r="G22" t="s">
        <v>269</v>
      </c>
    </row>
    <row r="23" spans="1:7" x14ac:dyDescent="0.3">
      <c r="A23" t="str">
        <f t="shared" si="2"/>
        <v>/paket</v>
      </c>
      <c r="B23" s="10" t="s">
        <v>22</v>
      </c>
      <c r="C23" s="1" t="s">
        <v>59</v>
      </c>
      <c r="E23" t="str">
        <f t="shared" si="0"/>
        <v>Ablieferung: Zusatz Daten</v>
      </c>
      <c r="F23" t="str">
        <f t="shared" si="1"/>
        <v>/paket/ablieferung</v>
      </c>
      <c r="G23" t="s">
        <v>269</v>
      </c>
    </row>
    <row r="24" spans="1:7" x14ac:dyDescent="0.3">
      <c r="A24" t="str">
        <f t="shared" si="2"/>
        <v>/paket</v>
      </c>
      <c r="B24" s="10" t="s">
        <v>22</v>
      </c>
      <c r="C24" s="32" t="s">
        <v>26</v>
      </c>
      <c r="E24" t="str">
        <f t="shared" si="0"/>
        <v>Ablieferung: Provenienz</v>
      </c>
      <c r="F24" t="str">
        <f t="shared" si="1"/>
        <v>/paket/ablieferung</v>
      </c>
      <c r="G24" t="s">
        <v>274</v>
      </c>
    </row>
    <row r="25" spans="1:7" x14ac:dyDescent="0.3">
      <c r="A25" t="str">
        <f t="shared" si="2"/>
        <v>/paket</v>
      </c>
      <c r="B25" s="10" t="s">
        <v>22</v>
      </c>
      <c r="C25" s="33" t="s">
        <v>29</v>
      </c>
      <c r="E25" t="str">
        <f t="shared" si="0"/>
        <v>Ablieferung: Ordnungssystem</v>
      </c>
      <c r="F25" t="str">
        <f t="shared" si="1"/>
        <v>/paket/ablieferung</v>
      </c>
      <c r="G25" t="s">
        <v>274</v>
      </c>
    </row>
    <row r="26" spans="1:7" x14ac:dyDescent="0.3">
      <c r="A26" t="str">
        <f t="shared" si="2"/>
        <v>/paket</v>
      </c>
      <c r="B26" s="10" t="s">
        <v>22</v>
      </c>
      <c r="C26" s="34" t="s">
        <v>40</v>
      </c>
      <c r="E26" t="str">
        <f t="shared" si="0"/>
        <v>Ablieferung: Mappe</v>
      </c>
      <c r="F26" t="str">
        <f t="shared" si="1"/>
        <v>/paket/ablieferung</v>
      </c>
      <c r="G26" t="s">
        <v>274</v>
      </c>
    </row>
    <row r="27" spans="1:7" x14ac:dyDescent="0.3">
      <c r="A27" t="str">
        <f t="shared" si="2"/>
        <v>/paket</v>
      </c>
      <c r="B27" s="10" t="s">
        <v>22</v>
      </c>
      <c r="C27" s="35" t="s">
        <v>56</v>
      </c>
      <c r="E27" t="str">
        <f t="shared" si="0"/>
        <v>Ablieferung: Archivische Notiz</v>
      </c>
      <c r="F27" t="str">
        <f t="shared" si="1"/>
        <v>/paket/ablieferung</v>
      </c>
      <c r="G27" t="s">
        <v>274</v>
      </c>
    </row>
    <row r="28" spans="1:7" x14ac:dyDescent="0.3">
      <c r="A28" t="str">
        <f>F$24</f>
        <v>/paket/ablieferung</v>
      </c>
      <c r="B28" s="14" t="s">
        <v>26</v>
      </c>
      <c r="C28" s="1" t="s">
        <v>264</v>
      </c>
      <c r="E28" t="str">
        <f t="shared" si="0"/>
        <v xml:space="preserve">Provenienz: Aktenbildner Name  </v>
      </c>
      <c r="F28" t="str">
        <f t="shared" si="1"/>
        <v>/paket/ablieferung/provenienz</v>
      </c>
      <c r="G28" t="s">
        <v>269</v>
      </c>
    </row>
    <row r="29" spans="1:7" x14ac:dyDescent="0.3">
      <c r="A29" t="str">
        <f t="shared" ref="A29:A39" si="3">F$24</f>
        <v>/paket/ablieferung</v>
      </c>
      <c r="B29" s="14" t="s">
        <v>26</v>
      </c>
      <c r="C29" s="1" t="s">
        <v>66</v>
      </c>
      <c r="E29" t="str">
        <f t="shared" si="0"/>
        <v>Provenienz: System Name</v>
      </c>
      <c r="F29" t="str">
        <f t="shared" si="1"/>
        <v>/paket/ablieferung/provenienz</v>
      </c>
      <c r="G29" t="s">
        <v>269</v>
      </c>
    </row>
    <row r="30" spans="1:7" x14ac:dyDescent="0.3">
      <c r="A30" t="str">
        <f t="shared" si="3"/>
        <v>/paket/ablieferung</v>
      </c>
      <c r="B30" s="14" t="s">
        <v>26</v>
      </c>
      <c r="C30" s="1" t="s">
        <v>67</v>
      </c>
      <c r="E30" t="str">
        <f t="shared" si="0"/>
        <v>Provenienz: System Beschreibung</v>
      </c>
      <c r="F30" t="str">
        <f t="shared" si="1"/>
        <v>/paket/ablieferung/provenienz</v>
      </c>
      <c r="G30" t="s">
        <v>269</v>
      </c>
    </row>
    <row r="31" spans="1:7" x14ac:dyDescent="0.3">
      <c r="A31" t="str">
        <f t="shared" si="3"/>
        <v>/paket/ablieferung</v>
      </c>
      <c r="B31" s="14" t="s">
        <v>26</v>
      </c>
      <c r="C31" s="1" t="s">
        <v>171</v>
      </c>
      <c r="E31" t="str">
        <f t="shared" si="0"/>
        <v>Provenienz: Registratur</v>
      </c>
      <c r="F31" t="str">
        <f t="shared" si="1"/>
        <v>/paket/ablieferung/provenienz</v>
      </c>
      <c r="G31" t="s">
        <v>269</v>
      </c>
    </row>
    <row r="32" spans="1:7" x14ac:dyDescent="0.3">
      <c r="A32" t="str">
        <f t="shared" si="3"/>
        <v>/paket/ablieferung</v>
      </c>
      <c r="B32" s="14" t="s">
        <v>26</v>
      </c>
      <c r="C32" s="1" t="s">
        <v>172</v>
      </c>
      <c r="E32" t="str">
        <f t="shared" si="0"/>
        <v>Provenienz: Verwandte Systeme</v>
      </c>
      <c r="F32" t="str">
        <f t="shared" si="1"/>
        <v>/paket/ablieferung/provenienz</v>
      </c>
      <c r="G32" t="s">
        <v>269</v>
      </c>
    </row>
    <row r="33" spans="1:7" x14ac:dyDescent="0.3">
      <c r="A33" t="str">
        <f t="shared" si="3"/>
        <v>/paket/ablieferung</v>
      </c>
      <c r="B33" s="14" t="s">
        <v>26</v>
      </c>
      <c r="C33" s="1" t="s">
        <v>173</v>
      </c>
      <c r="E33" t="str">
        <f t="shared" si="0"/>
        <v>Provenienz: Archivierungsmodus Löschvorschriften</v>
      </c>
      <c r="F33" t="str">
        <f t="shared" si="1"/>
        <v>/paket/ablieferung/provenienz</v>
      </c>
      <c r="G33" t="s">
        <v>269</v>
      </c>
    </row>
    <row r="34" spans="1:7" x14ac:dyDescent="0.3">
      <c r="A34" t="str">
        <f t="shared" si="3"/>
        <v>/paket/ablieferung</v>
      </c>
      <c r="B34" s="14" t="s">
        <v>26</v>
      </c>
      <c r="C34" s="1" t="s">
        <v>68</v>
      </c>
      <c r="D34" t="s">
        <v>267</v>
      </c>
      <c r="E34" t="str">
        <f t="shared" ref="E34:E65" si="4">PROPER(Umlaut(AddSpace(B34),1))&amp;": "&amp;PROPER(Umlaut(AddSpace(C34),1))&amp;IF(D34="",""," "&amp;D34)</f>
        <v>Provenienz: Existenzzeitraum von/datum</v>
      </c>
      <c r="F34" t="str">
        <f t="shared" si="1"/>
        <v>/paket/ablieferung/provenienz</v>
      </c>
      <c r="G34" t="s">
        <v>269</v>
      </c>
    </row>
    <row r="35" spans="1:7" x14ac:dyDescent="0.3">
      <c r="A35" t="str">
        <f t="shared" si="3"/>
        <v>/paket/ablieferung</v>
      </c>
      <c r="B35" s="14" t="s">
        <v>26</v>
      </c>
      <c r="C35" s="1" t="s">
        <v>68</v>
      </c>
      <c r="D35" t="s">
        <v>268</v>
      </c>
      <c r="E35" t="str">
        <f t="shared" si="4"/>
        <v>Provenienz: Existenzzeitraum bis/datum</v>
      </c>
      <c r="F35" t="str">
        <f t="shared" si="1"/>
        <v>/paket/ablieferung/provenienz</v>
      </c>
      <c r="G35" t="s">
        <v>269</v>
      </c>
    </row>
    <row r="36" spans="1:7" x14ac:dyDescent="0.3">
      <c r="A36" t="str">
        <f t="shared" si="3"/>
        <v>/paket/ablieferung</v>
      </c>
      <c r="B36" s="14" t="s">
        <v>26</v>
      </c>
      <c r="C36" s="1" t="s">
        <v>68</v>
      </c>
      <c r="D36" t="s">
        <v>266</v>
      </c>
      <c r="E36" t="str">
        <f t="shared" si="4"/>
        <v>Provenienz: Existenzzeitraum ca</v>
      </c>
      <c r="F36" t="str">
        <f t="shared" si="1"/>
        <v>/paket/ablieferung/provenienz</v>
      </c>
      <c r="G36" t="s">
        <v>269</v>
      </c>
    </row>
    <row r="37" spans="1:7" x14ac:dyDescent="0.3">
      <c r="A37" t="str">
        <f t="shared" si="3"/>
        <v>/paket/ablieferung</v>
      </c>
      <c r="B37" s="14" t="s">
        <v>26</v>
      </c>
      <c r="C37" s="1" t="s">
        <v>69</v>
      </c>
      <c r="E37" t="str">
        <f t="shared" si="4"/>
        <v>Provenienz: Geschichte Aktenbildner</v>
      </c>
      <c r="F37" t="str">
        <f t="shared" si="1"/>
        <v>/paket/ablieferung/provenienz</v>
      </c>
      <c r="G37" t="s">
        <v>269</v>
      </c>
    </row>
    <row r="38" spans="1:7" x14ac:dyDescent="0.3">
      <c r="A38" t="str">
        <f t="shared" si="3"/>
        <v>/paket/ablieferung</v>
      </c>
      <c r="B38" s="14" t="s">
        <v>26</v>
      </c>
      <c r="C38" s="1" t="s">
        <v>64</v>
      </c>
      <c r="E38" t="str">
        <f t="shared" si="4"/>
        <v>Provenienz: Bemerkung</v>
      </c>
      <c r="F38" t="str">
        <f t="shared" si="1"/>
        <v>/paket/ablieferung/provenienz</v>
      </c>
      <c r="G38" t="s">
        <v>269</v>
      </c>
    </row>
    <row r="39" spans="1:7" x14ac:dyDescent="0.3">
      <c r="A39" t="str">
        <f t="shared" si="3"/>
        <v>/paket/ablieferung</v>
      </c>
      <c r="B39" s="14" t="s">
        <v>26</v>
      </c>
      <c r="C39" s="35" t="s">
        <v>56</v>
      </c>
      <c r="E39" t="str">
        <f t="shared" si="4"/>
        <v>Provenienz: Archivische Notiz</v>
      </c>
      <c r="F39" t="str">
        <f t="shared" si="1"/>
        <v>/paket/ablieferung/provenienz</v>
      </c>
      <c r="G39" t="s">
        <v>274</v>
      </c>
    </row>
    <row r="40" spans="1:7" x14ac:dyDescent="0.3">
      <c r="A40" t="str">
        <f t="shared" ref="A40:A50" si="5">F$25</f>
        <v>/paket/ablieferung</v>
      </c>
      <c r="B40" s="15" t="s">
        <v>29</v>
      </c>
      <c r="C40" s="1" t="s">
        <v>1</v>
      </c>
      <c r="E40" t="str">
        <f t="shared" si="4"/>
        <v>Ordnungssystem: Name</v>
      </c>
      <c r="F40" t="str">
        <f t="shared" si="1"/>
        <v>/paket/ablieferung/ordnungssystem</v>
      </c>
      <c r="G40" t="s">
        <v>269</v>
      </c>
    </row>
    <row r="41" spans="1:7" x14ac:dyDescent="0.3">
      <c r="A41" t="str">
        <f t="shared" si="5"/>
        <v>/paket/ablieferung</v>
      </c>
      <c r="B41" s="15" t="s">
        <v>29</v>
      </c>
      <c r="C41" s="1" t="s">
        <v>70</v>
      </c>
      <c r="E41" t="str">
        <f t="shared" si="4"/>
        <v>Ordnungssystem: Generation</v>
      </c>
      <c r="F41" t="str">
        <f t="shared" si="1"/>
        <v>/paket/ablieferung/ordnungssystem</v>
      </c>
      <c r="G41" t="s">
        <v>269</v>
      </c>
    </row>
    <row r="42" spans="1:7" x14ac:dyDescent="0.3">
      <c r="A42" t="str">
        <f t="shared" si="5"/>
        <v>/paket/ablieferung</v>
      </c>
      <c r="B42" s="15" t="s">
        <v>29</v>
      </c>
      <c r="C42" s="1" t="s">
        <v>71</v>
      </c>
      <c r="D42" t="s">
        <v>267</v>
      </c>
      <c r="E42" t="str">
        <f t="shared" si="4"/>
        <v>Ordnungssystem: Anwendungszeitraum von/datum</v>
      </c>
      <c r="F42" t="str">
        <f t="shared" si="1"/>
        <v>/paket/ablieferung/ordnungssystem</v>
      </c>
      <c r="G42" t="s">
        <v>269</v>
      </c>
    </row>
    <row r="43" spans="1:7" x14ac:dyDescent="0.3">
      <c r="A43" t="str">
        <f t="shared" si="5"/>
        <v>/paket/ablieferung</v>
      </c>
      <c r="B43" s="15" t="s">
        <v>29</v>
      </c>
      <c r="C43" s="1" t="s">
        <v>71</v>
      </c>
      <c r="D43" t="s">
        <v>268</v>
      </c>
      <c r="E43" t="str">
        <f t="shared" si="4"/>
        <v>Ordnungssystem: Anwendungszeitraum bis/datum</v>
      </c>
      <c r="F43" t="str">
        <f t="shared" si="1"/>
        <v>/paket/ablieferung/ordnungssystem</v>
      </c>
      <c r="G43" t="s">
        <v>269</v>
      </c>
    </row>
    <row r="44" spans="1:7" x14ac:dyDescent="0.3">
      <c r="A44" t="str">
        <f t="shared" si="5"/>
        <v>/paket/ablieferung</v>
      </c>
      <c r="B44" s="15" t="s">
        <v>29</v>
      </c>
      <c r="C44" s="1" t="s">
        <v>71</v>
      </c>
      <c r="D44" t="s">
        <v>266</v>
      </c>
      <c r="E44" t="str">
        <f t="shared" si="4"/>
        <v>Ordnungssystem: Anwendungszeitraum ca</v>
      </c>
      <c r="F44" t="str">
        <f t="shared" si="1"/>
        <v>/paket/ablieferung/ordnungssystem</v>
      </c>
      <c r="G44" t="s">
        <v>269</v>
      </c>
    </row>
    <row r="45" spans="1:7" x14ac:dyDescent="0.3">
      <c r="A45" t="str">
        <f t="shared" si="5"/>
        <v>/paket/ablieferung</v>
      </c>
      <c r="B45" s="15" t="s">
        <v>29</v>
      </c>
      <c r="C45" s="1" t="s">
        <v>72</v>
      </c>
      <c r="E45" t="str">
        <f t="shared" si="4"/>
        <v>Ordnungssystem: Mitbenutzung</v>
      </c>
      <c r="F45" t="str">
        <f t="shared" si="1"/>
        <v>/paket/ablieferung/ordnungssystem</v>
      </c>
      <c r="G45" t="s">
        <v>269</v>
      </c>
    </row>
    <row r="46" spans="1:7" x14ac:dyDescent="0.3">
      <c r="A46" t="str">
        <f t="shared" si="5"/>
        <v>/paket/ablieferung</v>
      </c>
      <c r="B46" s="15" t="s">
        <v>29</v>
      </c>
      <c r="C46" s="1" t="s">
        <v>64</v>
      </c>
      <c r="E46" t="str">
        <f t="shared" si="4"/>
        <v>Ordnungssystem: Bemerkung</v>
      </c>
      <c r="F46" t="str">
        <f t="shared" si="1"/>
        <v>/paket/ablieferung/ordnungssystem</v>
      </c>
      <c r="G46" t="s">
        <v>269</v>
      </c>
    </row>
    <row r="47" spans="1:7" x14ac:dyDescent="0.3">
      <c r="A47" t="str">
        <f t="shared" si="5"/>
        <v>/paket/ablieferung</v>
      </c>
      <c r="B47" s="15" t="s">
        <v>29</v>
      </c>
      <c r="C47" s="1" t="s">
        <v>59</v>
      </c>
      <c r="E47" t="str">
        <f t="shared" si="4"/>
        <v>Ordnungssystem: Zusatz Daten</v>
      </c>
      <c r="F47" t="str">
        <f t="shared" si="1"/>
        <v>/paket/ablieferung/ordnungssystem</v>
      </c>
      <c r="G47" t="s">
        <v>269</v>
      </c>
    </row>
    <row r="48" spans="1:7" x14ac:dyDescent="0.3">
      <c r="A48" t="str">
        <f t="shared" si="5"/>
        <v>/paket/ablieferung</v>
      </c>
      <c r="B48" s="15" t="s">
        <v>29</v>
      </c>
      <c r="C48" s="36" t="s">
        <v>32</v>
      </c>
      <c r="E48" t="str">
        <f t="shared" si="4"/>
        <v>Ordnungssystem: Ordnungssystemposition</v>
      </c>
      <c r="F48" t="str">
        <f t="shared" si="1"/>
        <v>/paket/ablieferung/ordnungssystem</v>
      </c>
      <c r="G48" t="s">
        <v>274</v>
      </c>
    </row>
    <row r="49" spans="1:7" x14ac:dyDescent="0.3">
      <c r="A49" t="str">
        <f t="shared" si="5"/>
        <v>/paket/ablieferung</v>
      </c>
      <c r="B49" s="15" t="s">
        <v>29</v>
      </c>
      <c r="C49" s="34" t="s">
        <v>40</v>
      </c>
      <c r="E49" t="str">
        <f t="shared" si="4"/>
        <v>Ordnungssystem: Mappe</v>
      </c>
      <c r="F49" t="str">
        <f t="shared" si="1"/>
        <v>/paket/ablieferung/ordnungssystem</v>
      </c>
      <c r="G49" t="s">
        <v>274</v>
      </c>
    </row>
    <row r="50" spans="1:7" x14ac:dyDescent="0.3">
      <c r="A50" t="str">
        <f t="shared" si="5"/>
        <v>/paket/ablieferung</v>
      </c>
      <c r="B50" s="15" t="s">
        <v>29</v>
      </c>
      <c r="C50" s="35" t="s">
        <v>56</v>
      </c>
      <c r="E50" t="str">
        <f t="shared" si="4"/>
        <v>Ordnungssystem: Archivische Notiz</v>
      </c>
      <c r="F50" t="str">
        <f t="shared" si="1"/>
        <v>/paket/ablieferung/ordnungssystem</v>
      </c>
      <c r="G50" t="s">
        <v>274</v>
      </c>
    </row>
    <row r="51" spans="1:7" x14ac:dyDescent="0.3">
      <c r="A51" t="str">
        <f>F$48</f>
        <v>/paket/ablieferung/ordnungssystem</v>
      </c>
      <c r="B51" s="20" t="s">
        <v>32</v>
      </c>
      <c r="C51" s="1" t="s">
        <v>154</v>
      </c>
      <c r="E51" t="str">
        <f t="shared" si="4"/>
        <v>Ordnungssystemposition: Id</v>
      </c>
      <c r="F51" t="str">
        <f t="shared" si="1"/>
        <v>/paket/ablieferung/ordnungssystem/ordnungssystemposition</v>
      </c>
      <c r="G51" t="s">
        <v>269</v>
      </c>
    </row>
    <row r="52" spans="1:7" x14ac:dyDescent="0.3">
      <c r="A52" t="str">
        <f t="shared" ref="A52:A68" si="6">F$48</f>
        <v>/paket/ablieferung/ordnungssystem</v>
      </c>
      <c r="B52" s="20" t="s">
        <v>32</v>
      </c>
      <c r="C52" s="1" t="s">
        <v>153</v>
      </c>
      <c r="E52" t="str">
        <f t="shared" si="4"/>
        <v>Ordnungssystemposition: Reihung</v>
      </c>
      <c r="F52" t="str">
        <f t="shared" si="1"/>
        <v>/paket/ablieferung/ordnungssystem/ordnungssystemposition</v>
      </c>
      <c r="G52" t="s">
        <v>269</v>
      </c>
    </row>
    <row r="53" spans="1:7" x14ac:dyDescent="0.3">
      <c r="A53" t="str">
        <f t="shared" si="6"/>
        <v>/paket/ablieferung/ordnungssystem</v>
      </c>
      <c r="B53" s="20" t="s">
        <v>32</v>
      </c>
      <c r="C53" s="1" t="s">
        <v>174</v>
      </c>
      <c r="E53" t="str">
        <f t="shared" si="4"/>
        <v>Ordnungssystemposition: Nummer</v>
      </c>
      <c r="F53" t="str">
        <f t="shared" si="1"/>
        <v>/paket/ablieferung/ordnungssystem/ordnungssystemposition</v>
      </c>
      <c r="G53" t="s">
        <v>269</v>
      </c>
    </row>
    <row r="54" spans="1:7" x14ac:dyDescent="0.3">
      <c r="A54" t="str">
        <f t="shared" si="6"/>
        <v>/paket/ablieferung/ordnungssystem</v>
      </c>
      <c r="B54" s="20" t="s">
        <v>32</v>
      </c>
      <c r="C54" s="1" t="s">
        <v>80</v>
      </c>
      <c r="E54" t="str">
        <f t="shared" si="4"/>
        <v>Ordnungssystemposition: Titel</v>
      </c>
      <c r="F54" t="str">
        <f t="shared" si="1"/>
        <v>/paket/ablieferung/ordnungssystem/ordnungssystemposition</v>
      </c>
      <c r="G54" t="s">
        <v>269</v>
      </c>
    </row>
    <row r="55" spans="1:7" x14ac:dyDescent="0.3">
      <c r="A55" t="str">
        <f t="shared" si="6"/>
        <v>/paket/ablieferung/ordnungssystem</v>
      </c>
      <c r="B55" s="20" t="s">
        <v>32</v>
      </c>
      <c r="C55" s="1" t="s">
        <v>73</v>
      </c>
      <c r="E55" t="str">
        <f t="shared" si="4"/>
        <v>Ordnungssystemposition: Federführende Organisationseinheit</v>
      </c>
      <c r="F55" t="str">
        <f t="shared" si="1"/>
        <v>/paket/ablieferung/ordnungssystem/ordnungssystemposition</v>
      </c>
      <c r="G55" t="s">
        <v>269</v>
      </c>
    </row>
    <row r="56" spans="1:7" x14ac:dyDescent="0.3">
      <c r="A56" t="str">
        <f t="shared" si="6"/>
        <v>/paket/ablieferung/ordnungssystem</v>
      </c>
      <c r="B56" s="20" t="s">
        <v>32</v>
      </c>
      <c r="C56" s="1" t="s">
        <v>169</v>
      </c>
      <c r="E56" t="str">
        <f t="shared" si="4"/>
        <v>Ordnungssystemposition: Schutzfristenkategorie</v>
      </c>
      <c r="F56" t="str">
        <f t="shared" si="1"/>
        <v>/paket/ablieferung/ordnungssystem/ordnungssystemposition</v>
      </c>
      <c r="G56" t="s">
        <v>269</v>
      </c>
    </row>
    <row r="57" spans="1:7" x14ac:dyDescent="0.3">
      <c r="A57" t="str">
        <f t="shared" si="6"/>
        <v>/paket/ablieferung/ordnungssystem</v>
      </c>
      <c r="B57" s="20" t="s">
        <v>32</v>
      </c>
      <c r="C57" s="1" t="s">
        <v>170</v>
      </c>
      <c r="E57" t="str">
        <f t="shared" si="4"/>
        <v>Ordnungssystemposition: Schutzfrist</v>
      </c>
      <c r="F57" t="str">
        <f t="shared" si="1"/>
        <v>/paket/ablieferung/ordnungssystem/ordnungssystemposition</v>
      </c>
      <c r="G57" t="s">
        <v>269</v>
      </c>
    </row>
    <row r="58" spans="1:7" x14ac:dyDescent="0.3">
      <c r="A58" t="str">
        <f t="shared" si="6"/>
        <v>/paket/ablieferung/ordnungssystem</v>
      </c>
      <c r="B58" s="20" t="s">
        <v>32</v>
      </c>
      <c r="C58" s="1" t="s">
        <v>175</v>
      </c>
      <c r="E58" t="str">
        <f t="shared" si="4"/>
        <v>Ordnungssystemposition: Schutzfristen Begründung</v>
      </c>
      <c r="F58" t="str">
        <f t="shared" si="1"/>
        <v>/paket/ablieferung/ordnungssystem/ordnungssystemposition</v>
      </c>
      <c r="G58" t="s">
        <v>269</v>
      </c>
    </row>
    <row r="59" spans="1:7" x14ac:dyDescent="0.3">
      <c r="A59" t="str">
        <f t="shared" si="6"/>
        <v>/paket/ablieferung/ordnungssystem</v>
      </c>
      <c r="B59" s="20" t="s">
        <v>32</v>
      </c>
      <c r="C59" s="1" t="s">
        <v>74</v>
      </c>
      <c r="E59" t="str">
        <f t="shared" si="4"/>
        <v>Ordnungssystemposition: Klassifizierungskategorie</v>
      </c>
      <c r="F59" t="str">
        <f t="shared" si="1"/>
        <v>/paket/ablieferung/ordnungssystem/ordnungssystemposition</v>
      </c>
      <c r="G59" t="s">
        <v>269</v>
      </c>
    </row>
    <row r="60" spans="1:7" x14ac:dyDescent="0.3">
      <c r="A60" t="str">
        <f t="shared" si="6"/>
        <v>/paket/ablieferung/ordnungssystem</v>
      </c>
      <c r="B60" s="20" t="s">
        <v>32</v>
      </c>
      <c r="C60" s="1" t="s">
        <v>75</v>
      </c>
      <c r="E60" t="str">
        <f t="shared" si="4"/>
        <v>Ordnungssystemposition: Datenschutz</v>
      </c>
      <c r="F60" t="str">
        <f t="shared" si="1"/>
        <v>/paket/ablieferung/ordnungssystem/ordnungssystemposition</v>
      </c>
      <c r="G60" t="s">
        <v>269</v>
      </c>
    </row>
    <row r="61" spans="1:7" x14ac:dyDescent="0.3">
      <c r="A61" t="str">
        <f t="shared" si="6"/>
        <v>/paket/ablieferung/ordnungssystem</v>
      </c>
      <c r="B61" s="20" t="s">
        <v>32</v>
      </c>
      <c r="C61" s="1" t="s">
        <v>76</v>
      </c>
      <c r="E61" t="str">
        <f t="shared" si="4"/>
        <v>Ordnungssystemposition: Öffentlichkeitsstatus</v>
      </c>
      <c r="F61" t="str">
        <f t="shared" si="1"/>
        <v>/paket/ablieferung/ordnungssystem/ordnungssystemposition</v>
      </c>
      <c r="G61" t="s">
        <v>269</v>
      </c>
    </row>
    <row r="62" spans="1:7" x14ac:dyDescent="0.3">
      <c r="A62" t="str">
        <f t="shared" si="6"/>
        <v>/paket/ablieferung/ordnungssystem</v>
      </c>
      <c r="B62" s="20" t="s">
        <v>32</v>
      </c>
      <c r="C62" s="1" t="s">
        <v>77</v>
      </c>
      <c r="E62" t="str">
        <f t="shared" si="4"/>
        <v>Ordnungssystemposition: Öffentlichkeitsstatus Begründung</v>
      </c>
      <c r="F62" t="str">
        <f t="shared" si="1"/>
        <v>/paket/ablieferung/ordnungssystem/ordnungssystemposition</v>
      </c>
      <c r="G62" t="s">
        <v>269</v>
      </c>
    </row>
    <row r="63" spans="1:7" x14ac:dyDescent="0.3">
      <c r="A63" t="str">
        <f t="shared" si="6"/>
        <v>/paket/ablieferung/ordnungssystem</v>
      </c>
      <c r="B63" s="20" t="s">
        <v>32</v>
      </c>
      <c r="C63" s="1" t="s">
        <v>78</v>
      </c>
      <c r="E63" t="str">
        <f t="shared" si="4"/>
        <v>Ordnungssystemposition: Sonstige Bestimmungen</v>
      </c>
      <c r="F63" t="str">
        <f t="shared" si="1"/>
        <v>/paket/ablieferung/ordnungssystem/ordnungssystemposition</v>
      </c>
      <c r="G63" t="s">
        <v>269</v>
      </c>
    </row>
    <row r="64" spans="1:7" x14ac:dyDescent="0.3">
      <c r="A64" t="str">
        <f t="shared" si="6"/>
        <v>/paket/ablieferung/ordnungssystem</v>
      </c>
      <c r="B64" s="20" t="s">
        <v>32</v>
      </c>
      <c r="C64" s="1" t="s">
        <v>59</v>
      </c>
      <c r="E64" t="str">
        <f t="shared" si="4"/>
        <v>Ordnungssystemposition: Zusatz Daten</v>
      </c>
      <c r="F64" t="str">
        <f t="shared" si="1"/>
        <v>/paket/ablieferung/ordnungssystem/ordnungssystemposition</v>
      </c>
      <c r="G64" t="s">
        <v>269</v>
      </c>
    </row>
    <row r="65" spans="1:7" x14ac:dyDescent="0.3">
      <c r="A65" t="str">
        <f t="shared" si="6"/>
        <v>/paket/ablieferung/ordnungssystem</v>
      </c>
      <c r="B65" s="20" t="s">
        <v>32</v>
      </c>
      <c r="C65" s="36" t="s">
        <v>32</v>
      </c>
      <c r="E65" t="str">
        <f t="shared" si="4"/>
        <v>Ordnungssystemposition: Ordnungssystemposition</v>
      </c>
      <c r="F65" t="str">
        <f t="shared" si="1"/>
        <v>/paket/ablieferung/ordnungssystem/ordnungssystemposition</v>
      </c>
      <c r="G65" t="s">
        <v>274</v>
      </c>
    </row>
    <row r="66" spans="1:7" x14ac:dyDescent="0.3">
      <c r="A66" t="str">
        <f t="shared" si="6"/>
        <v>/paket/ablieferung/ordnungssystem</v>
      </c>
      <c r="B66" s="20" t="s">
        <v>32</v>
      </c>
      <c r="C66" s="37" t="s">
        <v>35</v>
      </c>
      <c r="E66" t="str">
        <f t="shared" ref="E66:E97" si="7">PROPER(Umlaut(AddSpace(B66),1))&amp;": "&amp;PROPER(Umlaut(AddSpace(C66),1))&amp;IF(D66="",""," "&amp;D66)</f>
        <v>Ordnungssystemposition: Dossier</v>
      </c>
      <c r="F66" t="str">
        <f t="shared" ref="F66:F76" si="8">A66&amp;"/"&amp;B66</f>
        <v>/paket/ablieferung/ordnungssystem/ordnungssystemposition</v>
      </c>
      <c r="G66" t="s">
        <v>274</v>
      </c>
    </row>
    <row r="67" spans="1:7" x14ac:dyDescent="0.3">
      <c r="A67" t="str">
        <f t="shared" si="6"/>
        <v>/paket/ablieferung/ordnungssystem</v>
      </c>
      <c r="B67" s="20" t="s">
        <v>32</v>
      </c>
      <c r="C67" s="34" t="s">
        <v>40</v>
      </c>
      <c r="E67" t="str">
        <f t="shared" si="7"/>
        <v>Ordnungssystemposition: Mappe</v>
      </c>
      <c r="F67" t="str">
        <f t="shared" si="8"/>
        <v>/paket/ablieferung/ordnungssystem/ordnungssystemposition</v>
      </c>
      <c r="G67" t="s">
        <v>274</v>
      </c>
    </row>
    <row r="68" spans="1:7" x14ac:dyDescent="0.3">
      <c r="A68" t="str">
        <f t="shared" si="6"/>
        <v>/paket/ablieferung/ordnungssystem</v>
      </c>
      <c r="B68" s="20" t="s">
        <v>32</v>
      </c>
      <c r="C68" s="35" t="s">
        <v>56</v>
      </c>
      <c r="E68" t="str">
        <f t="shared" si="7"/>
        <v>Ordnungssystemposition: Archivische Notiz</v>
      </c>
      <c r="F68" t="str">
        <f t="shared" si="8"/>
        <v>/paket/ablieferung/ordnungssystem/ordnungssystemposition</v>
      </c>
      <c r="G68" t="s">
        <v>274</v>
      </c>
    </row>
    <row r="69" spans="1:7" x14ac:dyDescent="0.3">
      <c r="A69" t="str">
        <f>F$8</f>
        <v>/paket</v>
      </c>
      <c r="B69" s="12" t="s">
        <v>55</v>
      </c>
      <c r="C69" s="1" t="s">
        <v>96</v>
      </c>
      <c r="E69" t="str">
        <f t="shared" si="7"/>
        <v>Archivischer Vorgang: Vorgangstyp</v>
      </c>
      <c r="F69" t="str">
        <f t="shared" si="8"/>
        <v>/paket/archivischerVorgang</v>
      </c>
      <c r="G69" t="s">
        <v>269</v>
      </c>
    </row>
    <row r="70" spans="1:7" x14ac:dyDescent="0.3">
      <c r="A70" t="str">
        <f t="shared" ref="A70:A72" si="9">F$8</f>
        <v>/paket</v>
      </c>
      <c r="B70" s="12" t="s">
        <v>55</v>
      </c>
      <c r="C70" s="1" t="s">
        <v>97</v>
      </c>
      <c r="E70" t="str">
        <f t="shared" si="7"/>
        <v>Archivischer Vorgang: Beschreibung</v>
      </c>
      <c r="F70" t="str">
        <f t="shared" si="8"/>
        <v>/paket/archivischerVorgang</v>
      </c>
      <c r="G70" t="s">
        <v>269</v>
      </c>
    </row>
    <row r="71" spans="1:7" x14ac:dyDescent="0.3">
      <c r="A71" t="str">
        <f t="shared" si="9"/>
        <v>/paket</v>
      </c>
      <c r="B71" s="12" t="s">
        <v>55</v>
      </c>
      <c r="C71" s="1" t="s">
        <v>98</v>
      </c>
      <c r="E71" t="str">
        <f t="shared" si="7"/>
        <v>Archivischer Vorgang: Datum</v>
      </c>
      <c r="F71" t="str">
        <f t="shared" si="8"/>
        <v>/paket/archivischerVorgang</v>
      </c>
      <c r="G71" t="s">
        <v>269</v>
      </c>
    </row>
    <row r="72" spans="1:7" x14ac:dyDescent="0.3">
      <c r="A72" t="str">
        <f t="shared" si="9"/>
        <v>/paket</v>
      </c>
      <c r="B72" s="12" t="s">
        <v>55</v>
      </c>
      <c r="C72" s="1" t="s">
        <v>99</v>
      </c>
      <c r="E72" t="str">
        <f t="shared" si="7"/>
        <v>Archivischer Vorgang: Bearbeiter</v>
      </c>
      <c r="F72" t="str">
        <f t="shared" si="8"/>
        <v>/paket/archivischerVorgang</v>
      </c>
      <c r="G72" t="s">
        <v>269</v>
      </c>
    </row>
    <row r="73" spans="1:7" x14ac:dyDescent="0.3">
      <c r="A73" t="str">
        <f>F$9</f>
        <v>/paket</v>
      </c>
      <c r="B73" s="13" t="s">
        <v>56</v>
      </c>
      <c r="C73" s="1" t="s">
        <v>154</v>
      </c>
      <c r="E73" t="str">
        <f t="shared" si="7"/>
        <v>Archivische Notiz: Id</v>
      </c>
      <c r="F73" t="str">
        <f t="shared" si="8"/>
        <v>/paket/archivischeNotiz</v>
      </c>
      <c r="G73" t="s">
        <v>269</v>
      </c>
    </row>
    <row r="74" spans="1:7" x14ac:dyDescent="0.3">
      <c r="A74" t="str">
        <f t="shared" ref="A74:A76" si="10">F$9</f>
        <v>/paket</v>
      </c>
      <c r="B74" s="13" t="s">
        <v>56</v>
      </c>
      <c r="C74" s="1" t="s">
        <v>100</v>
      </c>
      <c r="E74" t="str">
        <f t="shared" si="7"/>
        <v>Archivische Notiz: Notiz Datum</v>
      </c>
      <c r="F74" t="str">
        <f t="shared" si="8"/>
        <v>/paket/archivischeNotiz</v>
      </c>
      <c r="G74" t="s">
        <v>269</v>
      </c>
    </row>
    <row r="75" spans="1:7" x14ac:dyDescent="0.3">
      <c r="A75" t="str">
        <f t="shared" si="10"/>
        <v>/paket</v>
      </c>
      <c r="B75" s="13" t="s">
        <v>56</v>
      </c>
      <c r="C75" s="1" t="s">
        <v>101</v>
      </c>
      <c r="E75" t="str">
        <f t="shared" si="7"/>
        <v>Archivische Notiz: Notiz Erfasser</v>
      </c>
      <c r="F75" t="str">
        <f t="shared" si="8"/>
        <v>/paket/archivischeNotiz</v>
      </c>
      <c r="G75" t="s">
        <v>269</v>
      </c>
    </row>
    <row r="76" spans="1:7" x14ac:dyDescent="0.3">
      <c r="A76" t="str">
        <f t="shared" si="10"/>
        <v>/paket</v>
      </c>
      <c r="B76" s="13" t="s">
        <v>56</v>
      </c>
      <c r="C76" s="1" t="s">
        <v>102</v>
      </c>
      <c r="E76" t="str">
        <f t="shared" si="7"/>
        <v>Archivische Notiz: Notiz Beschreibung</v>
      </c>
      <c r="F76" t="str">
        <f t="shared" si="8"/>
        <v>/paket/archivischeNotiz</v>
      </c>
      <c r="G76" t="s">
        <v>269</v>
      </c>
    </row>
    <row r="77" spans="1:7" x14ac:dyDescent="0.3">
      <c r="B77" s="26" t="s">
        <v>272</v>
      </c>
      <c r="C77" s="1" t="s">
        <v>271</v>
      </c>
      <c r="E77" t="s">
        <v>273</v>
      </c>
      <c r="G77" t="s">
        <v>270</v>
      </c>
    </row>
    <row r="78" spans="1:7" x14ac:dyDescent="0.3">
      <c r="B78" s="26" t="s">
        <v>275</v>
      </c>
      <c r="C78" s="1" t="s">
        <v>276</v>
      </c>
      <c r="E78" t="s">
        <v>277</v>
      </c>
      <c r="G78" t="s">
        <v>278</v>
      </c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5"/>
  <sheetViews>
    <sheetView workbookViewId="0">
      <selection activeCell="B45" sqref="B45"/>
    </sheetView>
  </sheetViews>
  <sheetFormatPr baseColWidth="10" defaultColWidth="11.44140625" defaultRowHeight="15.6" x14ac:dyDescent="0.3"/>
  <cols>
    <col min="1" max="1" width="6" style="9" customWidth="1"/>
    <col min="2" max="2" width="44" style="5" bestFit="1" customWidth="1"/>
    <col min="3" max="16384" width="11.44140625" style="5"/>
  </cols>
  <sheetData>
    <row r="1" spans="1:2" x14ac:dyDescent="0.3">
      <c r="A1" s="38" t="s">
        <v>227</v>
      </c>
      <c r="B1" s="38"/>
    </row>
    <row r="2" spans="1:2" x14ac:dyDescent="0.3">
      <c r="A2" s="6" t="s">
        <v>228</v>
      </c>
      <c r="B2" s="7" t="s">
        <v>229</v>
      </c>
    </row>
    <row r="3" spans="1:2" x14ac:dyDescent="0.3">
      <c r="A3" s="6" t="s">
        <v>228</v>
      </c>
      <c r="B3" s="8" t="s">
        <v>230</v>
      </c>
    </row>
    <row r="4" spans="1:2" x14ac:dyDescent="0.3">
      <c r="A4" s="6" t="s">
        <v>228</v>
      </c>
      <c r="B4" s="8" t="s">
        <v>231</v>
      </c>
    </row>
    <row r="5" spans="1:2" x14ac:dyDescent="0.3">
      <c r="A5" s="6" t="s">
        <v>228</v>
      </c>
      <c r="B5" s="8" t="s">
        <v>232</v>
      </c>
    </row>
    <row r="6" spans="1:2" x14ac:dyDescent="0.3">
      <c r="A6" s="6" t="s">
        <v>228</v>
      </c>
      <c r="B6" s="7" t="s">
        <v>233</v>
      </c>
    </row>
    <row r="7" spans="1:2" x14ac:dyDescent="0.3">
      <c r="A7" s="6" t="s">
        <v>228</v>
      </c>
      <c r="B7" s="8" t="s">
        <v>234</v>
      </c>
    </row>
    <row r="8" spans="1:2" x14ac:dyDescent="0.3">
      <c r="A8" s="6" t="s">
        <v>228</v>
      </c>
      <c r="B8" s="8" t="s">
        <v>235</v>
      </c>
    </row>
    <row r="9" spans="1:2" x14ac:dyDescent="0.3">
      <c r="A9" s="6" t="s">
        <v>228</v>
      </c>
      <c r="B9" s="7" t="s">
        <v>236</v>
      </c>
    </row>
    <row r="10" spans="1:2" x14ac:dyDescent="0.3">
      <c r="A10" s="6" t="s">
        <v>228</v>
      </c>
      <c r="B10" s="7" t="s">
        <v>237</v>
      </c>
    </row>
    <row r="11" spans="1:2" x14ac:dyDescent="0.3">
      <c r="A11" s="6" t="s">
        <v>228</v>
      </c>
      <c r="B11" s="8" t="s">
        <v>238</v>
      </c>
    </row>
    <row r="12" spans="1:2" x14ac:dyDescent="0.3">
      <c r="A12" s="6" t="s">
        <v>228</v>
      </c>
      <c r="B12" s="8" t="s">
        <v>239</v>
      </c>
    </row>
    <row r="13" spans="1:2" x14ac:dyDescent="0.3">
      <c r="A13" s="6" t="s">
        <v>228</v>
      </c>
      <c r="B13" s="8" t="s">
        <v>222</v>
      </c>
    </row>
    <row r="14" spans="1:2" x14ac:dyDescent="0.3">
      <c r="A14" s="6" t="s">
        <v>228</v>
      </c>
      <c r="B14" s="8" t="s">
        <v>240</v>
      </c>
    </row>
    <row r="15" spans="1:2" x14ac:dyDescent="0.3">
      <c r="A15" s="6" t="s">
        <v>228</v>
      </c>
      <c r="B15" s="8" t="s">
        <v>241</v>
      </c>
    </row>
    <row r="16" spans="1:2" x14ac:dyDescent="0.3">
      <c r="A16" s="6" t="s">
        <v>228</v>
      </c>
      <c r="B16" s="8" t="s">
        <v>242</v>
      </c>
    </row>
    <row r="17" spans="1:2" x14ac:dyDescent="0.3">
      <c r="A17" s="6" t="s">
        <v>228</v>
      </c>
      <c r="B17" s="7" t="s">
        <v>243</v>
      </c>
    </row>
    <row r="18" spans="1:2" x14ac:dyDescent="0.3">
      <c r="A18" s="6" t="s">
        <v>228</v>
      </c>
      <c r="B18" s="8" t="s">
        <v>244</v>
      </c>
    </row>
    <row r="19" spans="1:2" x14ac:dyDescent="0.3">
      <c r="A19" s="6" t="s">
        <v>228</v>
      </c>
      <c r="B19" s="8" t="s">
        <v>245</v>
      </c>
    </row>
    <row r="20" spans="1:2" x14ac:dyDescent="0.3">
      <c r="A20" s="6" t="s">
        <v>228</v>
      </c>
      <c r="B20" s="7" t="s">
        <v>246</v>
      </c>
    </row>
    <row r="21" spans="1:2" x14ac:dyDescent="0.3">
      <c r="A21" s="6" t="s">
        <v>228</v>
      </c>
      <c r="B21" s="7" t="s">
        <v>247</v>
      </c>
    </row>
    <row r="22" spans="1:2" x14ac:dyDescent="0.3">
      <c r="A22" s="6" t="s">
        <v>228</v>
      </c>
      <c r="B22" s="8" t="s">
        <v>248</v>
      </c>
    </row>
    <row r="23" spans="1:2" x14ac:dyDescent="0.3">
      <c r="A23" s="6" t="s">
        <v>249</v>
      </c>
      <c r="B23" s="7" t="s">
        <v>229</v>
      </c>
    </row>
    <row r="24" spans="1:2" x14ac:dyDescent="0.3">
      <c r="A24" s="6" t="s">
        <v>249</v>
      </c>
      <c r="B24" s="7" t="s">
        <v>233</v>
      </c>
    </row>
    <row r="25" spans="1:2" x14ac:dyDescent="0.3">
      <c r="A25" s="6" t="s">
        <v>249</v>
      </c>
      <c r="B25" s="8" t="s">
        <v>250</v>
      </c>
    </row>
    <row r="26" spans="1:2" x14ac:dyDescent="0.3">
      <c r="A26" s="6" t="s">
        <v>249</v>
      </c>
      <c r="B26" s="8" t="s">
        <v>251</v>
      </c>
    </row>
    <row r="27" spans="1:2" x14ac:dyDescent="0.3">
      <c r="A27" s="6" t="s">
        <v>249</v>
      </c>
      <c r="B27" s="7" t="s">
        <v>236</v>
      </c>
    </row>
    <row r="28" spans="1:2" x14ac:dyDescent="0.3">
      <c r="A28" s="6" t="s">
        <v>249</v>
      </c>
      <c r="B28" s="7" t="s">
        <v>237</v>
      </c>
    </row>
    <row r="29" spans="1:2" x14ac:dyDescent="0.3">
      <c r="A29" s="6" t="s">
        <v>249</v>
      </c>
      <c r="B29" s="8" t="s">
        <v>252</v>
      </c>
    </row>
    <row r="30" spans="1:2" x14ac:dyDescent="0.3">
      <c r="A30" s="6" t="s">
        <v>249</v>
      </c>
      <c r="B30" s="8" t="s">
        <v>253</v>
      </c>
    </row>
    <row r="31" spans="1:2" x14ac:dyDescent="0.3">
      <c r="A31" s="6" t="s">
        <v>249</v>
      </c>
      <c r="B31" s="8" t="s">
        <v>254</v>
      </c>
    </row>
    <row r="32" spans="1:2" x14ac:dyDescent="0.3">
      <c r="A32" s="6" t="s">
        <v>249</v>
      </c>
      <c r="B32" s="8" t="s">
        <v>255</v>
      </c>
    </row>
    <row r="33" spans="1:2" x14ac:dyDescent="0.3">
      <c r="A33" s="6" t="s">
        <v>249</v>
      </c>
      <c r="B33" s="7" t="s">
        <v>243</v>
      </c>
    </row>
    <row r="34" spans="1:2" x14ac:dyDescent="0.3">
      <c r="A34" s="6" t="s">
        <v>249</v>
      </c>
      <c r="B34" s="8" t="s">
        <v>256</v>
      </c>
    </row>
    <row r="35" spans="1:2" x14ac:dyDescent="0.3">
      <c r="A35" s="6" t="s">
        <v>249</v>
      </c>
      <c r="B35" s="7" t="s">
        <v>246</v>
      </c>
    </row>
    <row r="36" spans="1:2" x14ac:dyDescent="0.3">
      <c r="A36" s="6" t="s">
        <v>249</v>
      </c>
      <c r="B36" s="7" t="s">
        <v>247</v>
      </c>
    </row>
    <row r="37" spans="1:2" x14ac:dyDescent="0.3">
      <c r="A37" s="6" t="s">
        <v>257</v>
      </c>
      <c r="B37" s="7" t="s">
        <v>229</v>
      </c>
    </row>
    <row r="38" spans="1:2" x14ac:dyDescent="0.3">
      <c r="A38" s="6" t="s">
        <v>257</v>
      </c>
      <c r="B38" s="7" t="s">
        <v>233</v>
      </c>
    </row>
    <row r="39" spans="1:2" x14ac:dyDescent="0.3">
      <c r="A39" s="6" t="s">
        <v>257</v>
      </c>
      <c r="B39" s="8" t="s">
        <v>258</v>
      </c>
    </row>
    <row r="40" spans="1:2" x14ac:dyDescent="0.3">
      <c r="A40" s="6" t="s">
        <v>257</v>
      </c>
      <c r="B40" s="8" t="s">
        <v>259</v>
      </c>
    </row>
    <row r="41" spans="1:2" x14ac:dyDescent="0.3">
      <c r="A41" s="6" t="s">
        <v>257</v>
      </c>
      <c r="B41" s="7" t="s">
        <v>236</v>
      </c>
    </row>
    <row r="42" spans="1:2" x14ac:dyDescent="0.3">
      <c r="A42" s="6" t="s">
        <v>257</v>
      </c>
      <c r="B42" s="7" t="s">
        <v>237</v>
      </c>
    </row>
    <row r="43" spans="1:2" x14ac:dyDescent="0.3">
      <c r="A43" s="6" t="s">
        <v>257</v>
      </c>
      <c r="B43" s="8" t="s">
        <v>260</v>
      </c>
    </row>
    <row r="44" spans="1:2" x14ac:dyDescent="0.3">
      <c r="A44" s="6" t="s">
        <v>257</v>
      </c>
      <c r="B44" s="7" t="s">
        <v>246</v>
      </c>
    </row>
    <row r="45" spans="1:2" x14ac:dyDescent="0.3">
      <c r="A45" s="6" t="s">
        <v>257</v>
      </c>
      <c r="B45" s="7" t="s">
        <v>247</v>
      </c>
    </row>
  </sheetData>
  <mergeCells count="1">
    <mergeCell ref="A1:B1"/>
  </mergeCells>
  <pageMargins left="0.7" right="0.7" top="0.78740157499999996" bottom="0.78740157499999996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FD86470-547F-4C78-A0B8-0B4B6A21189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arelda.xsd</vt:lpstr>
      <vt:lpstr>ech-0160-draft</vt:lpstr>
      <vt:lpstr>ech0160</vt:lpstr>
      <vt:lpstr>ech0160-paket</vt:lpstr>
      <vt:lpstr>dimag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Kilchenmann André</dc:creator>
  <cp:lastModifiedBy>André Kilchenmann</cp:lastModifiedBy>
  <dcterms:created xsi:type="dcterms:W3CDTF">2022-07-29T10:15:59Z</dcterms:created>
  <dcterms:modified xsi:type="dcterms:W3CDTF">2022-10-19T14:25:04Z</dcterms:modified>
</cp:coreProperties>
</file>