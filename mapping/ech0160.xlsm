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10" windowWidth="23010" windowHeight="8205" tabRatio="691" activeTab="3"/>
  </bookViews>
  <sheets>
    <sheet name="arelda.xsd" sheetId="1" r:id="rId1"/>
    <sheet name="ech-0160-draft" sheetId="2" r:id="rId2"/>
    <sheet name="ech0160-paket" sheetId="5" r:id="rId3"/>
    <sheet name="ech0160" sheetId="4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6" i="5" l="1"/>
  <c r="F106" i="5" s="1"/>
  <c r="A107" i="5"/>
  <c r="F107" i="5" s="1"/>
  <c r="A105" i="5"/>
  <c r="F105" i="5" s="1"/>
  <c r="F90" i="5"/>
  <c r="F91" i="5"/>
  <c r="E107" i="5"/>
  <c r="E106" i="5"/>
  <c r="E105" i="5"/>
  <c r="E90" i="5"/>
  <c r="E91" i="5"/>
  <c r="F14" i="5" l="1"/>
  <c r="F5" i="5" l="1"/>
  <c r="F6" i="5"/>
  <c r="F7" i="5"/>
  <c r="F4" i="5"/>
  <c r="F3" i="5"/>
  <c r="E123" i="5"/>
  <c r="E117" i="5"/>
  <c r="E125" i="5"/>
  <c r="E118" i="5"/>
  <c r="E124" i="5"/>
  <c r="E119" i="5"/>
  <c r="E121" i="5"/>
  <c r="E120" i="5"/>
  <c r="E2" i="5"/>
  <c r="E122" i="5"/>
  <c r="E126" i="5"/>
  <c r="E4" i="5"/>
  <c r="E103" i="5"/>
  <c r="E63" i="5"/>
  <c r="E82" i="5"/>
  <c r="E49" i="5"/>
  <c r="E44" i="5"/>
  <c r="E77" i="5"/>
  <c r="E17" i="5"/>
  <c r="E75" i="5"/>
  <c r="E10" i="5"/>
  <c r="E68" i="5"/>
  <c r="E78" i="5"/>
  <c r="E28" i="5"/>
  <c r="E20" i="5"/>
  <c r="E99" i="5"/>
  <c r="E8" i="5"/>
  <c r="E53" i="5"/>
  <c r="E16" i="5"/>
  <c r="E96" i="5"/>
  <c r="E50" i="5"/>
  <c r="E83" i="5"/>
  <c r="E109" i="5"/>
  <c r="E76" i="5"/>
  <c r="E35" i="5"/>
  <c r="E115" i="5"/>
  <c r="E40" i="5"/>
  <c r="E11" i="5"/>
  <c r="E25" i="5"/>
  <c r="E108" i="5"/>
  <c r="E81" i="5"/>
  <c r="E39" i="5"/>
  <c r="E24" i="5"/>
  <c r="E100" i="5"/>
  <c r="E104" i="5"/>
  <c r="E18" i="5"/>
  <c r="E30" i="5"/>
  <c r="E84" i="5"/>
  <c r="E98" i="5"/>
  <c r="E29" i="5"/>
  <c r="E57" i="5"/>
  <c r="E87" i="5"/>
  <c r="E19" i="5"/>
  <c r="E61" i="5"/>
  <c r="E51" i="5"/>
  <c r="E60" i="5"/>
  <c r="E111" i="5"/>
  <c r="E31" i="5"/>
  <c r="E72" i="5"/>
  <c r="E41" i="5"/>
  <c r="E93" i="5"/>
  <c r="E97" i="5"/>
  <c r="E54" i="5"/>
  <c r="E86" i="5"/>
  <c r="E14" i="5"/>
  <c r="E79" i="5"/>
  <c r="E36" i="5"/>
  <c r="E26" i="5"/>
  <c r="E65" i="5"/>
  <c r="E45" i="5"/>
  <c r="E114" i="5"/>
  <c r="E58" i="5"/>
  <c r="E12" i="5"/>
  <c r="E56" i="5"/>
  <c r="E110" i="5"/>
  <c r="E15" i="5"/>
  <c r="E80" i="5"/>
  <c r="E55" i="5"/>
  <c r="E38" i="5"/>
  <c r="E43" i="5"/>
  <c r="E22" i="5"/>
  <c r="E52" i="5"/>
  <c r="E66" i="5"/>
  <c r="E101" i="5"/>
  <c r="E34" i="5"/>
  <c r="E42" i="5"/>
  <c r="E27" i="5"/>
  <c r="E94" i="5"/>
  <c r="E67" i="5"/>
  <c r="E112" i="5"/>
  <c r="E47" i="5"/>
  <c r="E74" i="5"/>
  <c r="E73" i="5"/>
  <c r="E85" i="5"/>
  <c r="E62" i="5"/>
  <c r="E89" i="5"/>
  <c r="E102" i="5"/>
  <c r="E64" i="5"/>
  <c r="E9" i="5"/>
  <c r="E59" i="5"/>
  <c r="E71" i="5"/>
  <c r="E70" i="5"/>
  <c r="E69" i="5"/>
  <c r="E37" i="5"/>
  <c r="E32" i="5"/>
  <c r="E33" i="5"/>
  <c r="E92" i="5"/>
  <c r="E23" i="5"/>
  <c r="E95" i="5"/>
  <c r="E13" i="5"/>
  <c r="E88" i="5"/>
  <c r="E21" i="5"/>
  <c r="E116" i="5"/>
  <c r="E48" i="5"/>
  <c r="E113" i="5"/>
  <c r="E46" i="5"/>
  <c r="F2" i="5" l="1"/>
  <c r="F8" i="5"/>
  <c r="F9" i="5"/>
  <c r="F10" i="5"/>
  <c r="F11" i="5"/>
  <c r="F12" i="5"/>
  <c r="F13" i="5"/>
  <c r="A122" i="5" l="1"/>
  <c r="F122" i="5" s="1"/>
  <c r="A123" i="5"/>
  <c r="F123" i="5" s="1"/>
  <c r="A124" i="5"/>
  <c r="F124" i="5" s="1"/>
  <c r="A121" i="5"/>
  <c r="F121" i="5" s="1"/>
  <c r="A120" i="5"/>
  <c r="F120" i="5" s="1"/>
  <c r="A119" i="5"/>
  <c r="F119" i="5" s="1"/>
  <c r="A118" i="5"/>
  <c r="F118" i="5" s="1"/>
  <c r="A117" i="5"/>
  <c r="F117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2" i="2"/>
  <c r="A90" i="5" l="1"/>
  <c r="A91" i="5"/>
  <c r="A75" i="5"/>
  <c r="F75" i="5" s="1"/>
  <c r="A101" i="5" s="1"/>
  <c r="F101" i="5" s="1"/>
  <c r="A83" i="5"/>
  <c r="F83" i="5" s="1"/>
  <c r="A112" i="5" s="1"/>
  <c r="F112" i="5" s="1"/>
  <c r="A93" i="5"/>
  <c r="F93" i="5" s="1"/>
  <c r="A81" i="5"/>
  <c r="F81" i="5" s="1"/>
  <c r="A110" i="5" s="1"/>
  <c r="F110" i="5" s="1"/>
  <c r="A76" i="5"/>
  <c r="F76" i="5" s="1"/>
  <c r="A102" i="5" s="1"/>
  <c r="F102" i="5" s="1"/>
  <c r="A84" i="5"/>
  <c r="F84" i="5" s="1"/>
  <c r="A113" i="5" s="1"/>
  <c r="F113" i="5" s="1"/>
  <c r="A94" i="5"/>
  <c r="F94" i="5" s="1"/>
  <c r="A97" i="5"/>
  <c r="F97" i="5" s="1"/>
  <c r="A88" i="5"/>
  <c r="F88" i="5" s="1"/>
  <c r="A92" i="5"/>
  <c r="F92" i="5" s="1"/>
  <c r="A77" i="5"/>
  <c r="F77" i="5" s="1"/>
  <c r="A103" i="5" s="1"/>
  <c r="F103" i="5" s="1"/>
  <c r="A85" i="5"/>
  <c r="F85" i="5" s="1"/>
  <c r="A114" i="5" s="1"/>
  <c r="F114" i="5" s="1"/>
  <c r="A95" i="5"/>
  <c r="F95" i="5" s="1"/>
  <c r="A87" i="5"/>
  <c r="F87" i="5" s="1"/>
  <c r="A116" i="5" s="1"/>
  <c r="F116" i="5" s="1"/>
  <c r="A98" i="5"/>
  <c r="F98" i="5" s="1"/>
  <c r="A82" i="5"/>
  <c r="F82" i="5" s="1"/>
  <c r="A111" i="5" s="1"/>
  <c r="F111" i="5" s="1"/>
  <c r="A78" i="5"/>
  <c r="F78" i="5" s="1"/>
  <c r="A104" i="5" s="1"/>
  <c r="F104" i="5" s="1"/>
  <c r="A86" i="5"/>
  <c r="F86" i="5" s="1"/>
  <c r="A115" i="5" s="1"/>
  <c r="F115" i="5" s="1"/>
  <c r="A96" i="5"/>
  <c r="F96" i="5" s="1"/>
  <c r="A79" i="5"/>
  <c r="F79" i="5" s="1"/>
  <c r="A108" i="5" s="1"/>
  <c r="F108" i="5" s="1"/>
  <c r="A80" i="5"/>
  <c r="F80" i="5" s="1"/>
  <c r="A109" i="5" s="1"/>
  <c r="F109" i="5" s="1"/>
  <c r="A99" i="5"/>
  <c r="F99" i="5" s="1"/>
  <c r="A74" i="5"/>
  <c r="F74" i="5" s="1"/>
  <c r="A100" i="5" s="1"/>
  <c r="F100" i="5" s="1"/>
  <c r="A89" i="5"/>
  <c r="F89" i="5" s="1"/>
  <c r="G2" i="2"/>
  <c r="F44" i="2"/>
  <c r="F39" i="2"/>
  <c r="F84" i="2"/>
  <c r="F36" i="2"/>
  <c r="F8" i="2"/>
  <c r="F46" i="2"/>
  <c r="F67" i="2"/>
  <c r="F70" i="2"/>
  <c r="F14" i="2"/>
  <c r="F60" i="2"/>
  <c r="F11" i="2"/>
  <c r="F50" i="2"/>
  <c r="F21" i="2"/>
  <c r="F55" i="2"/>
  <c r="F104" i="2"/>
  <c r="F79" i="2"/>
  <c r="F96" i="2"/>
  <c r="F87" i="2"/>
  <c r="F10" i="2"/>
  <c r="F107" i="2"/>
  <c r="F56" i="2"/>
  <c r="F22" i="2"/>
  <c r="F4" i="2"/>
  <c r="F77" i="2"/>
  <c r="F68" i="2"/>
  <c r="F97" i="2"/>
  <c r="F89" i="2"/>
  <c r="F114" i="2"/>
  <c r="F92" i="2"/>
  <c r="F20" i="2"/>
  <c r="F83" i="2"/>
  <c r="F98" i="2"/>
  <c r="F63" i="2"/>
  <c r="F25" i="2"/>
  <c r="F65" i="2"/>
  <c r="F49" i="2"/>
  <c r="F90" i="2"/>
  <c r="F76" i="2"/>
  <c r="F45" i="2"/>
  <c r="F111" i="2"/>
  <c r="F113" i="2"/>
  <c r="F23" i="2"/>
  <c r="F3" i="2"/>
  <c r="F52" i="2"/>
  <c r="F17" i="2"/>
  <c r="F109" i="2"/>
  <c r="F106" i="2"/>
  <c r="F53" i="2"/>
  <c r="F59" i="2"/>
  <c r="F35" i="2"/>
  <c r="F51" i="2"/>
  <c r="F72" i="2"/>
  <c r="F62" i="2"/>
  <c r="F108" i="2"/>
  <c r="F34" i="2"/>
  <c r="F74" i="2"/>
  <c r="F19" i="2"/>
  <c r="F78" i="2"/>
  <c r="F41" i="2"/>
  <c r="F24" i="2"/>
  <c r="F57" i="2"/>
  <c r="F103" i="2"/>
  <c r="F64" i="2"/>
  <c r="F54" i="2"/>
  <c r="F69" i="2"/>
  <c r="F37" i="2"/>
  <c r="F75" i="2"/>
  <c r="F101" i="2"/>
  <c r="F26" i="2"/>
  <c r="F42" i="2"/>
  <c r="F94" i="2"/>
  <c r="F38" i="2"/>
  <c r="F48" i="2"/>
  <c r="F16" i="2"/>
  <c r="F12" i="2"/>
  <c r="F86" i="2"/>
  <c r="F85" i="2"/>
  <c r="F6" i="2"/>
  <c r="F105" i="2"/>
  <c r="F73" i="2"/>
  <c r="F40" i="2"/>
  <c r="F110" i="2"/>
  <c r="F32" i="2"/>
  <c r="F93" i="2"/>
  <c r="F9" i="2"/>
  <c r="F5" i="2"/>
  <c r="F43" i="2"/>
  <c r="F102" i="2"/>
  <c r="F99" i="2"/>
  <c r="F100" i="2"/>
  <c r="F61" i="2"/>
  <c r="F15" i="2"/>
  <c r="F91" i="2"/>
  <c r="F29" i="2"/>
  <c r="F81" i="2"/>
  <c r="F80" i="2"/>
  <c r="F28" i="2"/>
  <c r="F7" i="2"/>
  <c r="F27" i="2"/>
  <c r="F82" i="2"/>
  <c r="F58" i="2"/>
  <c r="F30" i="2"/>
  <c r="F47" i="2"/>
  <c r="F112" i="2"/>
  <c r="F18" i="2"/>
  <c r="F71" i="2"/>
  <c r="F88" i="2"/>
  <c r="F66" i="2"/>
  <c r="F13" i="2"/>
  <c r="F33" i="2"/>
  <c r="F31" i="2"/>
  <c r="F95" i="2"/>
  <c r="A3" i="2" l="1"/>
  <c r="G3" i="2" s="1"/>
  <c r="A4" i="2"/>
  <c r="G4" i="2" s="1"/>
  <c r="A5" i="2"/>
  <c r="G5" i="2" s="1"/>
  <c r="A41" i="2" l="1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45" i="2" l="1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55" i="2" l="1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64" i="2" l="1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<sst xmlns="http://schemas.openxmlformats.org/spreadsheetml/2006/main" count="1818" uniqueCount="386">
  <si>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</si>
  <si>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</si>
  <si>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</si>
  <si>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</si>
  <si>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</si>
  <si>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</si>
  <si>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</si>
  <si>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</si>
  <si>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</si>
  <si>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</si>
  <si>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</si>
  <si>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</si>
  <si>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</si>
  <si>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</si>
  <si>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</si>
  <si>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</si>
  <si>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</si>
  <si>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</si>
  <si>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</si>
  <si>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</si>
  <si>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</si>
  <si>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</si>
  <si>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</si>
  <si>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</si>
  <si>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</si>
  <si>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</si>
  <si>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</si>
  <si>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</si>
  <si>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</si>
  <si>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</si>
  <si>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</si>
  <si>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</si>
  <si>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</si>
  <si>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</si>
  <si>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</si>
  <si>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</si>
  <si>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</si>
  <si>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</si>
  <si>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</si>
  <si>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</si>
  <si>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</si>
  <si>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</si>
  <si>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</si>
  <si>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</si>
  <si>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</si>
  <si>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</si>
  <si>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</si>
  <si>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</si>
  <si>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</si>
  <si>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</si>
  <si>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</si>
  <si>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</si>
  <si>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</si>
  <si>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</si>
  <si>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</si>
  <si>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</si>
  <si>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</si>
  <si>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</si>
  <si>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</si>
  <si>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</si>
  <si>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</si>
  <si>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</si>
  <si>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</si>
  <si>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</si>
  <si>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</si>
  <si>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</si>
  <si>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</si>
  <si>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</si>
  <si>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</si>
  <si>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</si>
  <si>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</si>
  <si>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</si>
  <si>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</si>
  <si>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</si>
  <si>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</si>
  <si>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</si>
  <si>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</si>
  <si>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</si>
  <si>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</si>
  <si>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</si>
  <si>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</si>
  <si>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</si>
  <si>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</si>
  <si>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</si>
  <si>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</si>
  <si>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</si>
  <si>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</si>
  <si>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</si>
  <si>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</si>
  <si>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</si>
  <si>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</si>
  <si>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</si>
  <si>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</si>
  <si>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</si>
  <si>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</si>
  <si>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</si>
  <si>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</si>
  <si>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</si>
  <si>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</si>
  <si>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</si>
  <si>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</si>
  <si>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</si>
  <si>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</si>
  <si>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</si>
  <si>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</si>
  <si>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</si>
  <si>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</si>
  <si>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</si>
  <si>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</si>
  <si>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</si>
  <si>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</si>
  <si>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</si>
  <si>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</si>
  <si>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</si>
  <si>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</si>
  <si>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</si>
  <si>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</si>
  <si>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</si>
  <si>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</si>
  <si>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</si>
  <si>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</si>
  <si>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</si>
  <si>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</si>
  <si>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</si>
  <si>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</si>
  <si>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</si>
  <si>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</si>
  <si>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</si>
  <si>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</si>
  <si>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</si>
  <si>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</si>
  <si>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</si>
  <si>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</si>
  <si>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</si>
  <si>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</si>
  <si>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</si>
  <si>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</si>
  <si>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</si>
  <si>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</si>
  <si>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</si>
  <si>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</si>
  <si>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</si>
  <si>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</si>
  <si>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</si>
  <si>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</si>
  <si>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</si>
  <si>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</si>
  <si>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</si>
  <si>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</si>
  <si>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</si>
  <si>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</si>
  <si>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</si>
  <si>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</si>
  <si>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</si>
  <si>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</si>
  <si>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</si>
  <si>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</si>
  <si>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</si>
  <si>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</si>
  <si>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</si>
  <si>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</si>
  <si>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</si>
  <si>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</si>
  <si>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</si>
  <si>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</si>
  <si>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</si>
  <si>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</si>
  <si>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</si>
  <si>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</si>
  <si>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</si>
  <si>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</si>
  <si>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</si>
  <si>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</si>
  <si>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</si>
  <si>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</si>
  <si>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</si>
  <si>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</si>
  <si>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</si>
  <si>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</si>
  <si>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</si>
  <si>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</si>
  <si>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</si>
  <si>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</si>
  <si>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</si>
  <si>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</si>
  <si>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</si>
  <si>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</si>
  <si>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</si>
  <si>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</si>
  <si>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</si>
  <si>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</si>
  <si>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</si>
  <si>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</si>
  <si>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</si>
  <si>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</si>
  <si>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</si>
  <si>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</si>
  <si>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</si>
  <si>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</si>
  <si>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</si>
  <si>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</si>
  <si>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</si>
  <si>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</si>
  <si>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</si>
  <si>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</si>
  <si>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</si>
  <si>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</si>
  <si>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</si>
  <si>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</si>
  <si>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</si>
  <si>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</si>
  <si>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</si>
  <si>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</si>
  <si>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</si>
  <si>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</si>
  <si>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</si>
  <si>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</si>
  <si>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</si>
  <si>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</si>
  <si>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</si>
  <si>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</si>
  <si>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</si>
  <si>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</si>
  <si>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</si>
  <si>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</si>
  <si>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</si>
  <si>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</si>
  <si>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</si>
  <si>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</si>
  <si>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</si>
  <si>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</si>
  <si>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</si>
  <si>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</si>
  <si>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</si>
  <si>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</si>
  <si>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</si>
  <si>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</si>
  <si>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</si>
  <si>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</si>
  <si>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</si>
  <si>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</si>
  <si>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</si>
  <si>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</si>
  <si>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</si>
  <si>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</si>
  <si>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</si>
  <si>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</si>
  <si>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</si>
  <si>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</si>
  <si>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</si>
  <si>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</si>
  <si>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</si>
  <si>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</si>
  <si>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</si>
  <si>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</si>
  <si>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</si>
  <si>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</si>
  <si>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</si>
  <si>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</si>
  <si>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</si>
  <si>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</si>
  <si>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</si>
  <si>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</si>
  <si>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</si>
  <si>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</si>
  <si>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>ca</t>
  </si>
  <si>
    <t>von/datum</t>
  </si>
  <si>
    <t>bis/datum</t>
  </si>
  <si>
    <t>per_file</t>
  </si>
  <si>
    <t>filenamewithoutextension</t>
  </si>
  <si>
    <t>file</t>
  </si>
  <si>
    <t>parent_only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</si>
  <si>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</si>
  <si>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</si>
  <si>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</si>
  <si>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</si>
  <si>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</si>
  <si>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</si>
  <si>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</si>
  <si>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</si>
  <si>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</si>
  <si>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</si>
  <si>
    <t>element</t>
  </si>
  <si>
    <t>reference</t>
  </si>
  <si>
    <t>metadata</t>
  </si>
  <si>
    <t>Paket: Schema Version</t>
  </si>
  <si>
    <t>Paket: Version</t>
  </si>
  <si>
    <t>Paket: Paket Typ</t>
  </si>
  <si>
    <t>Paket: Zusatz Daten</t>
  </si>
  <si>
    <t>Paket: Referenz Übernahmedossier</t>
  </si>
  <si>
    <t>Ablieferung: Ablieferungsnummer</t>
  </si>
  <si>
    <t>Ablieferung: Ablieferungstyp</t>
  </si>
  <si>
    <t>Ablieferung: Angebotsnummer</t>
  </si>
  <si>
    <t>Ablieferung: Abliefernde Stelle</t>
  </si>
  <si>
    <t>Ablieferung: Entstehungszeitraum von/datum</t>
  </si>
  <si>
    <t>Ablieferung: Entstehungszeitraum bis/datum</t>
  </si>
  <si>
    <t>Ablieferung: Entstehungszeitraum ca</t>
  </si>
  <si>
    <t>Ablieferung: Referenz Bewertungsentscheid</t>
  </si>
  <si>
    <t>Ablieferung: Referenz Schutzfristen Formular</t>
  </si>
  <si>
    <t>Ablieferung: Schutzfristenkategorie</t>
  </si>
  <si>
    <t>Ablieferung: Schutzfrist</t>
  </si>
  <si>
    <t>Ablieferung: Ablieferungsteile</t>
  </si>
  <si>
    <t>Ablieferung: Bemerkung</t>
  </si>
  <si>
    <t>Ablieferung: Zusatz Daten</t>
  </si>
  <si>
    <t xml:space="preserve">Provenienz: Aktenbildner Name </t>
  </si>
  <si>
    <t>Provenienz: System Name</t>
  </si>
  <si>
    <t>Provenienz: System Beschreibung</t>
  </si>
  <si>
    <t>Provenienz: Registratur</t>
  </si>
  <si>
    <t>Provenienz: Verwandte Systeme</t>
  </si>
  <si>
    <t>Provenienz: Archivierungsmodus Löschvorschriften</t>
  </si>
  <si>
    <t>Provenienz: Existenzzeitraum von/datum</t>
  </si>
  <si>
    <t>Provenienz: Existenzzeitraum bis/datum</t>
  </si>
  <si>
    <t>Provenienz: Existenzzeitraum ca</t>
  </si>
  <si>
    <t>Provenienz: Geschichte Aktenbildner</t>
  </si>
  <si>
    <t>Provenienz: Bemerkung</t>
  </si>
  <si>
    <t>Ordnungssystem: Name</t>
  </si>
  <si>
    <t>Ordnungssystem: Generation</t>
  </si>
  <si>
    <t>Ordnungssystem: Anwendungszeitraum von/datum</t>
  </si>
  <si>
    <t>Ordnungssystem: Anwendungszeitraum bis/datum</t>
  </si>
  <si>
    <t>Ordnungssystem: Anwendungszeitraum ca</t>
  </si>
  <si>
    <t>Ordnungssystem: Mitbenutzung</t>
  </si>
  <si>
    <t>Ordnungssystem: Bemerkung</t>
  </si>
  <si>
    <t>Ordnungssystem: Zusatz Daten</t>
  </si>
  <si>
    <t>Ordnungssystemposition: Id</t>
  </si>
  <si>
    <t>Ordnungssystemposition: Reihung</t>
  </si>
  <si>
    <t>Ordnungssystemposition: Nummer</t>
  </si>
  <si>
    <t>Ordnungssystemposition: Titel</t>
  </si>
  <si>
    <t>Ordnungssystemposition: Federführende Organisationseinheit</t>
  </si>
  <si>
    <t>Ordnungssystemposition: Schutzfristenkategorie</t>
  </si>
  <si>
    <t>Ordnungssystemposition: Schutzfrist</t>
  </si>
  <si>
    <t>Ordnungssystemposition: Schutzfristen Begründung</t>
  </si>
  <si>
    <t>Ordnungssystemposition: Klassifizierungskategorie</t>
  </si>
  <si>
    <t>Ordnungssystemposition: Datenschutz</t>
  </si>
  <si>
    <t>Ordnungssystemposition: Öffentlichkeitsstatus</t>
  </si>
  <si>
    <t>Ordnungssystemposition: Öffentlichkeitsstatus Begründung</t>
  </si>
  <si>
    <t>Ordnungssystemposition: Sonstige Bestimmungen</t>
  </si>
  <si>
    <t>Ordnungssystemposition: Zusatz Daten</t>
  </si>
  <si>
    <t>Dossier: Zusatzmerkmal</t>
  </si>
  <si>
    <t>Dossier: Titel</t>
  </si>
  <si>
    <t>Dossier: Inhalt</t>
  </si>
  <si>
    <t>Dossier: Form Inhalt</t>
  </si>
  <si>
    <t>Dossier: Erscheinungsform</t>
  </si>
  <si>
    <t>Dossier: Federführende Organisationseinheit</t>
  </si>
  <si>
    <t>Dossier: Entstehungszeitraum von/datum</t>
  </si>
  <si>
    <t>Dossier: Entstehungszeitraum bis/datum</t>
  </si>
  <si>
    <t>Dossier: Datenschutz</t>
  </si>
  <si>
    <t>Dossier: Öffentlichkeitsstatus</t>
  </si>
  <si>
    <t>Dossier: Öffentlichkeitsstatus Begründung</t>
  </si>
  <si>
    <t>Dossier: Sonstige Bestimmungen</t>
  </si>
  <si>
    <t>Dossier: Bemerkung</t>
  </si>
  <si>
    <t>Dossier: Zusatz Daten</t>
  </si>
  <si>
    <t>Dossier: Aktenzeichen</t>
  </si>
  <si>
    <t>Dossier: Eröffnungsdatum</t>
  </si>
  <si>
    <t>Dossier: Abschlussdatum</t>
  </si>
  <si>
    <t>Dossier: Vorgang</t>
  </si>
  <si>
    <t>Dossier: Schutzfristenkategorie</t>
  </si>
  <si>
    <t>Dossier: Schutzfrist</t>
  </si>
  <si>
    <t>Dossier: Schutzfristen Begründung</t>
  </si>
  <si>
    <t>Dokument: Titel</t>
  </si>
  <si>
    <t>Dokument: Autor</t>
  </si>
  <si>
    <t>Dokument: Erscheinungsform</t>
  </si>
  <si>
    <t>Dokument: Dokumenttyp</t>
  </si>
  <si>
    <t>Dokument: Registrierdatum</t>
  </si>
  <si>
    <t>Dokument: Entstehungszeitraum</t>
  </si>
  <si>
    <t>Dokument: Klassifizierungskategorie</t>
  </si>
  <si>
    <t>Dokument: Datenschutz</t>
  </si>
  <si>
    <t>Dokument: Öffentlichkeitsstatus</t>
  </si>
  <si>
    <t>Dokument: Öffentlichkeitsstatus Begründung</t>
  </si>
  <si>
    <t>Dokument: Sonstige Bestimmungen</t>
  </si>
  <si>
    <t>Dokument: Bemerkung</t>
  </si>
  <si>
    <t>Dokument: Zusatz Daten</t>
  </si>
  <si>
    <t>Dokument: Datei Ref</t>
  </si>
  <si>
    <t>Archivischer Vorgang: Vorgangstyp</t>
  </si>
  <si>
    <t>Archivischer Vorgang: Beschreibung</t>
  </si>
  <si>
    <t>Archivischer Vorgang: Datum</t>
  </si>
  <si>
    <t>Archivischer Vorgang: Bearbeiter</t>
  </si>
  <si>
    <t>Archivische Notiz: Id</t>
  </si>
  <si>
    <t>Archivische Notiz: Notiz Datum</t>
  </si>
  <si>
    <t>Archivische Notiz: Notiz Erfasser</t>
  </si>
  <si>
    <t>Archivische Notiz: Notiz Beschreibung</t>
  </si>
  <si>
    <t>File: Filenamewithoutextension</t>
  </si>
  <si>
    <t>File: Pathslice</t>
  </si>
  <si>
    <t>Element</t>
  </si>
  <si>
    <t>Zusatz</t>
  </si>
  <si>
    <t>Dossier: Entstehungszeitraum ca</t>
  </si>
  <si>
    <t>Dokument: Registrierdatum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</si>
</sst>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9" borderId="0" xfId="0" applyNumberFormat="1" applyFill="1"/>
    <xf numFmtId="49" fontId="0" fillId="10" borderId="0" xfId="0" applyNumberFormat="1" applyFill="1"/>
    <xf numFmtId="0" fontId="0" fillId="11" borderId="0" xfId="0" applyFill="1" applyAlignment="1">
      <alignment wrapText="1"/>
    </xf>
    <xf numFmtId="0" fontId="0" fillId="8" borderId="0" xfId="0" applyFill="1" applyAlignment="1">
      <alignment wrapText="1"/>
    </xf>
    <xf numFmtId="0" fontId="3" fillId="0" borderId="2" xfId="0" applyFont="1" applyBorder="1" applyAlignment="1">
      <alignment horizontal="center"/>
    </xf>
    <xf numFmtId="0" fontId="1" fillId="0" borderId="0" xfId="0" applyFont="1" applyFill="1"/>
    <xf numFmtId="0" fontId="0" fillId="0" borderId="0" xfId="0" applyFill="1"/>
    <xf numFmtId="0" fontId="0" fillId="0" borderId="0" xfId="0" applyFill="1" applyAlignment="1">
      <alignment wrapText="1"/>
    </xf>
    <xf numFmtId="0" fontId="3" fillId="0" borderId="2" xfId="0" applyFont="1" applyFill="1" applyBorder="1"/>
    <xf numFmtId="0" fontId="4" fillId="0" borderId="2" xfId="0" applyFont="1" applyFill="1" applyBorder="1"/>
    <xf numFmtId="0" fontId="4" fillId="0" borderId="2" xfId="0" applyFont="1" applyFill="1" applyBorder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41" workbookViewId="0">
      <selection activeCell="B149" sqref="B149"/>
    </sheetView>
  </sheetViews>
  <sheetFormatPr baseColWidth="10" defaultRowHeight="15" x14ac:dyDescent="0.25"/>
  <cols>
    <col min="1" max="1" width="36.42578125" bestFit="1" customWidth="1"/>
    <col min="2" max="2" width="34.42578125" bestFit="1" customWidth="1"/>
    <col min="3" max="3" width="57.28515625" bestFit="1" customWidth="1"/>
    <col min="4" max="4" width="15.140625" bestFit="1" customWidth="1"/>
    <col min="5" max="5" width="24.140625" bestFit="1" customWidth="1"/>
    <col min="6" max="6" width="14.42578125" bestFit="1" customWidth="1"/>
    <col min="7" max="7" width="17.7109375" bestFit="1" customWidth="1"/>
    <col min="8" max="8" width="23.140625" bestFit="1" customWidth="1"/>
    <col min="9" max="9" width="36.140625" bestFit="1" customWidth="1"/>
    <col min="10" max="10" width="47.42578125" bestFit="1" customWidth="1"/>
    <col min="11" max="11" width="46.140625" bestFit="1" customWidth="1"/>
    <col min="12" max="12" width="10.28515625" bestFit="1" customWidth="1"/>
    <col min="13" max="13" width="25.140625" bestFit="1" customWidth="1"/>
    <col min="14" max="14" width="11.28515625" bestFit="1" customWidth="1"/>
    <col min="15" max="15" width="15.28515625" bestFit="1" customWidth="1"/>
    <col min="16" max="16" width="20.42578125" bestFit="1" customWidth="1"/>
    <col min="17" max="17" width="16.42578125" bestFit="1" customWidth="1"/>
    <col min="18" max="18" width="24.7109375" bestFit="1" customWidth="1"/>
  </cols>
  <sheetData>
    <row r="1" spans="1:18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25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25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25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25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25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25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25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25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25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25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25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25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25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25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25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25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25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25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25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25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25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25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25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25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25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25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25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25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25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25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25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25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25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25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25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25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2578125" defaultRowHeight="15" x14ac:dyDescent="0.25"/>
  <cols>
    <col min="1" max="1" width="35" customWidth="1"/>
    <col min="2" max="2" width="36.28515625" customWidth="1"/>
    <col min="3" max="3" width="8.7109375" bestFit="1" customWidth="1"/>
    <col min="4" max="4" width="6.7109375" bestFit="1" customWidth="1"/>
    <col min="5" max="5" width="23.42578125" bestFit="1" customWidth="1"/>
    <col min="6" max="6" width="36.140625" customWidth="1"/>
    <col min="7" max="7" width="99.42578125" bestFit="1" customWidth="1"/>
  </cols>
  <sheetData>
    <row r="1" spans="1:8" s="3" customFormat="1" x14ac:dyDescent="0.25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5" x14ac:dyDescent="0.3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5" x14ac:dyDescent="0.3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5" x14ac:dyDescent="0.3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5" x14ac:dyDescent="0.3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5" x14ac:dyDescent="0.3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5" x14ac:dyDescent="0.3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5" x14ac:dyDescent="0.3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5" x14ac:dyDescent="0.3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5" x14ac:dyDescent="0.3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5" x14ac:dyDescent="0.3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5" x14ac:dyDescent="0.3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5" x14ac:dyDescent="0.3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5" x14ac:dyDescent="0.3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5" x14ac:dyDescent="0.3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5" x14ac:dyDescent="0.3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5" x14ac:dyDescent="0.3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5" x14ac:dyDescent="0.3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5" x14ac:dyDescent="0.3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5" x14ac:dyDescent="0.3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5" x14ac:dyDescent="0.3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5" x14ac:dyDescent="0.3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5" x14ac:dyDescent="0.3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5" x14ac:dyDescent="0.3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5" x14ac:dyDescent="0.3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5" x14ac:dyDescent="0.3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5" x14ac:dyDescent="0.3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5" x14ac:dyDescent="0.3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5" x14ac:dyDescent="0.3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5" x14ac:dyDescent="0.3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5" x14ac:dyDescent="0.3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5" x14ac:dyDescent="0.3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5" x14ac:dyDescent="0.3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5" x14ac:dyDescent="0.3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5" x14ac:dyDescent="0.3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5" x14ac:dyDescent="0.3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5" x14ac:dyDescent="0.3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5" x14ac:dyDescent="0.3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5" x14ac:dyDescent="0.3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5" x14ac:dyDescent="0.3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5" x14ac:dyDescent="0.3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5" x14ac:dyDescent="0.3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5" x14ac:dyDescent="0.3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5" x14ac:dyDescent="0.3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5" x14ac:dyDescent="0.3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5" x14ac:dyDescent="0.3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5" x14ac:dyDescent="0.3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5" x14ac:dyDescent="0.3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5" x14ac:dyDescent="0.3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5" x14ac:dyDescent="0.3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5" x14ac:dyDescent="0.3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5" x14ac:dyDescent="0.3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5" x14ac:dyDescent="0.3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5" x14ac:dyDescent="0.3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5" x14ac:dyDescent="0.3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5" x14ac:dyDescent="0.3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5" x14ac:dyDescent="0.3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5" x14ac:dyDescent="0.3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5" x14ac:dyDescent="0.3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5" x14ac:dyDescent="0.3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5" x14ac:dyDescent="0.3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5" x14ac:dyDescent="0.3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5" x14ac:dyDescent="0.3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5" x14ac:dyDescent="0.3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5" x14ac:dyDescent="0.3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5" x14ac:dyDescent="0.3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5" x14ac:dyDescent="0.3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5" x14ac:dyDescent="0.3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5" x14ac:dyDescent="0.3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5" x14ac:dyDescent="0.3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5" x14ac:dyDescent="0.3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5" x14ac:dyDescent="0.3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5" x14ac:dyDescent="0.3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5" x14ac:dyDescent="0.3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5" x14ac:dyDescent="0.3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5" x14ac:dyDescent="0.3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5" x14ac:dyDescent="0.3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5" x14ac:dyDescent="0.3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5" x14ac:dyDescent="0.3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5" x14ac:dyDescent="0.3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5" x14ac:dyDescent="0.3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5" x14ac:dyDescent="0.3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5" x14ac:dyDescent="0.3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5" x14ac:dyDescent="0.3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5" x14ac:dyDescent="0.3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5" x14ac:dyDescent="0.3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5" x14ac:dyDescent="0.3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5" x14ac:dyDescent="0.3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5" x14ac:dyDescent="0.3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5" x14ac:dyDescent="0.3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5" x14ac:dyDescent="0.3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5" x14ac:dyDescent="0.3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5" x14ac:dyDescent="0.3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5" x14ac:dyDescent="0.3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5" x14ac:dyDescent="0.3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5" x14ac:dyDescent="0.3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5" x14ac:dyDescent="0.3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5" x14ac:dyDescent="0.3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5" x14ac:dyDescent="0.3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5" x14ac:dyDescent="0.3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5" x14ac:dyDescent="0.3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5" x14ac:dyDescent="0.3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5" x14ac:dyDescent="0.3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5" x14ac:dyDescent="0.3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5" x14ac:dyDescent="0.3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5" x14ac:dyDescent="0.3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5" x14ac:dyDescent="0.3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5" x14ac:dyDescent="0.3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5" x14ac:dyDescent="0.3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5" x14ac:dyDescent="0.3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5" x14ac:dyDescent="0.3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5" x14ac:dyDescent="0.3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5" x14ac:dyDescent="0.3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5" x14ac:dyDescent="0.3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6"/>
  <sheetViews>
    <sheetView zoomScaleNormal="100" workbookViewId="0">
      <selection activeCell="D111" sqref="D111"/>
    </sheetView>
  </sheetViews>
  <sheetFormatPr baseColWidth="10" defaultRowHeight="15" x14ac:dyDescent="0.25"/>
  <cols>
    <col min="1" max="1" width="64.85546875" bestFit="1" customWidth="1"/>
    <col min="2" max="2" width="23.140625" bestFit="1" customWidth="1"/>
    <col min="3" max="3" width="33" style="1" bestFit="1" customWidth="1"/>
    <col min="4" max="4" width="10.85546875" bestFit="1" customWidth="1"/>
    <col min="5" max="5" width="51.7109375" bestFit="1" customWidth="1"/>
    <col min="6" max="6" width="75.140625" bestFit="1" customWidth="1"/>
    <col min="7" max="7" width="8.85546875" bestFit="1" customWidth="1"/>
    <col min="8" max="8" width="10.7109375" bestFit="1" customWidth="1"/>
    <col min="9" max="9" width="22.7109375" bestFit="1" customWidth="1"/>
  </cols>
  <sheetData>
    <row r="1" spans="1:10" s="3" customFormat="1" x14ac:dyDescent="0.25">
      <c r="A1" s="3" t="s">
        <v>262</v>
      </c>
      <c r="B1" s="3" t="s">
        <v>263</v>
      </c>
      <c r="C1" s="17" t="s">
        <v>210</v>
      </c>
      <c r="D1" s="3" t="s">
        <v>213</v>
      </c>
      <c r="E1" s="3" t="s">
        <v>211</v>
      </c>
      <c r="F1" s="3" t="s">
        <v>212</v>
      </c>
      <c r="G1" s="3" t="s">
        <v>215</v>
      </c>
      <c r="H1" s="3" t="s">
        <v>261</v>
      </c>
    </row>
    <row r="2" spans="1:10" x14ac:dyDescent="0.25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282</v>
      </c>
      <c r="H2" t="s">
        <v>273</v>
      </c>
    </row>
    <row r="3" spans="1:10" x14ac:dyDescent="0.25">
      <c r="B3" t="s">
        <v>20</v>
      </c>
      <c r="C3" s="1" t="s">
        <v>274</v>
      </c>
      <c r="E3" t="s">
        <v>278</v>
      </c>
      <c r="F3" t="str">
        <f t="shared" ref="F3" si="1">A3&amp;"/"&amp;B3</f>
        <v>/paket</v>
      </c>
      <c r="G3" t="s">
        <v>282</v>
      </c>
      <c r="H3" t="s">
        <v>273</v>
      </c>
    </row>
    <row r="4" spans="1:10" x14ac:dyDescent="0.25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282</v>
      </c>
      <c r="H4" t="s">
        <v>273</v>
      </c>
    </row>
    <row r="5" spans="1:10" x14ac:dyDescent="0.25">
      <c r="B5" t="s">
        <v>20</v>
      </c>
      <c r="C5" s="1" t="s">
        <v>277</v>
      </c>
      <c r="E5" t="s">
        <v>279</v>
      </c>
      <c r="F5" t="str">
        <f t="shared" ref="F5:F7" si="3">A5&amp;"/"&amp;B5</f>
        <v>/paket</v>
      </c>
      <c r="G5" t="s">
        <v>282</v>
      </c>
      <c r="H5" t="s">
        <v>273</v>
      </c>
    </row>
    <row r="6" spans="1:10" x14ac:dyDescent="0.25">
      <c r="B6" t="s">
        <v>20</v>
      </c>
      <c r="C6" s="1" t="s">
        <v>276</v>
      </c>
      <c r="E6" t="s">
        <v>280</v>
      </c>
      <c r="F6" t="str">
        <f t="shared" si="3"/>
        <v>/paket</v>
      </c>
      <c r="G6" t="s">
        <v>282</v>
      </c>
      <c r="H6" t="s">
        <v>273</v>
      </c>
    </row>
    <row r="7" spans="1:10" x14ac:dyDescent="0.25">
      <c r="B7" t="s">
        <v>20</v>
      </c>
      <c r="C7" s="1" t="s">
        <v>275</v>
      </c>
      <c r="E7" t="s">
        <v>281</v>
      </c>
      <c r="F7" t="str">
        <f t="shared" si="3"/>
        <v>/paket</v>
      </c>
      <c r="G7" t="s">
        <v>282</v>
      </c>
      <c r="H7" t="s">
        <v>273</v>
      </c>
    </row>
    <row r="8" spans="1:10" x14ac:dyDescent="0.25">
      <c r="B8" t="s">
        <v>20</v>
      </c>
      <c r="C8" s="1" t="s">
        <v>58</v>
      </c>
      <c r="E8" t="str">
        <f t="shared" ref="E8:E39" si="4">PROPER(Umlaut(AddSpace(B8),1))&amp;": "&amp;PROPER(Umlaut(AddSpace(C8),1))&amp;IF(D8="",""," "&amp;D8)</f>
        <v>Paket: Paket Typ</v>
      </c>
      <c r="F8" t="str">
        <f t="shared" si="0"/>
        <v>/paket</v>
      </c>
      <c r="G8" t="s">
        <v>282</v>
      </c>
      <c r="H8" t="s">
        <v>273</v>
      </c>
    </row>
    <row r="9" spans="1:10" x14ac:dyDescent="0.25">
      <c r="B9" t="s">
        <v>20</v>
      </c>
      <c r="C9" s="1" t="s">
        <v>59</v>
      </c>
      <c r="E9" t="str">
        <f t="shared" si="4"/>
        <v>Paket: Zusatz Daten</v>
      </c>
      <c r="F9" t="str">
        <f t="shared" si="0"/>
        <v>/paket</v>
      </c>
      <c r="G9" t="s">
        <v>282</v>
      </c>
      <c r="H9" t="s">
        <v>273</v>
      </c>
    </row>
    <row r="10" spans="1:10" x14ac:dyDescent="0.25">
      <c r="B10" t="s">
        <v>20</v>
      </c>
      <c r="C10" s="1" t="s">
        <v>164</v>
      </c>
      <c r="E10" t="str">
        <f t="shared" si="4"/>
        <v>Paket: Referenz Übernahmedossier</v>
      </c>
      <c r="F10" t="str">
        <f t="shared" si="0"/>
        <v>/paket</v>
      </c>
      <c r="G10" t="s">
        <v>282</v>
      </c>
      <c r="H10" t="s">
        <v>273</v>
      </c>
      <c r="J10" t="str">
        <f>Umlaut(I10,1)</f>
        <v/>
      </c>
    </row>
    <row r="11" spans="1:10" x14ac:dyDescent="0.25">
      <c r="B11" t="s">
        <v>20</v>
      </c>
      <c r="C11" s="18" t="s">
        <v>22</v>
      </c>
      <c r="E11" t="str">
        <f t="shared" si="4"/>
        <v>Paket: Ablieferung</v>
      </c>
      <c r="F11" t="str">
        <f t="shared" si="0"/>
        <v>/paket</v>
      </c>
      <c r="G11" t="s">
        <v>282</v>
      </c>
      <c r="H11" t="s">
        <v>271</v>
      </c>
    </row>
    <row r="12" spans="1:10" x14ac:dyDescent="0.25">
      <c r="B12" t="s">
        <v>20</v>
      </c>
      <c r="C12" s="19" t="s">
        <v>50</v>
      </c>
      <c r="E12" t="str">
        <f t="shared" si="4"/>
        <v>Paket: Inhaltsverzeichnis</v>
      </c>
      <c r="F12" t="str">
        <f t="shared" si="0"/>
        <v>/paket</v>
      </c>
      <c r="G12" t="s">
        <v>282</v>
      </c>
      <c r="H12" t="s">
        <v>271</v>
      </c>
    </row>
    <row r="13" spans="1:10" x14ac:dyDescent="0.25">
      <c r="B13" t="s">
        <v>20</v>
      </c>
      <c r="C13" s="20" t="s">
        <v>55</v>
      </c>
      <c r="E13" t="str">
        <f t="shared" si="4"/>
        <v>Paket: Archivischer Vorgang</v>
      </c>
      <c r="F13" t="str">
        <f t="shared" si="0"/>
        <v>/paket</v>
      </c>
      <c r="G13" t="s">
        <v>282</v>
      </c>
      <c r="H13" t="s">
        <v>271</v>
      </c>
    </row>
    <row r="14" spans="1:10" x14ac:dyDescent="0.25">
      <c r="B14" t="s">
        <v>20</v>
      </c>
      <c r="C14" s="21" t="s">
        <v>56</v>
      </c>
      <c r="E14" t="str">
        <f t="shared" si="4"/>
        <v>Paket: Archivische Notiz</v>
      </c>
      <c r="F14" t="str">
        <f>A14&amp;"/"&amp;B14</f>
        <v>/paket</v>
      </c>
      <c r="G14" t="s">
        <v>282</v>
      </c>
      <c r="H14" t="s">
        <v>271</v>
      </c>
    </row>
    <row r="15" spans="1:10" x14ac:dyDescent="0.25">
      <c r="A15" t="str">
        <f>F$11</f>
        <v>/paket</v>
      </c>
      <c r="B15" s="10" t="s">
        <v>22</v>
      </c>
      <c r="C15" s="1" t="s">
        <v>165</v>
      </c>
      <c r="E15" t="str">
        <f t="shared" si="4"/>
        <v>Ablieferung: Ablieferungsnummer</v>
      </c>
      <c r="F15" t="str">
        <f t="shared" si="0"/>
        <v>/paket/ablieferung</v>
      </c>
      <c r="G15" t="s">
        <v>282</v>
      </c>
      <c r="H15" t="s">
        <v>273</v>
      </c>
    </row>
    <row r="16" spans="1:10" x14ac:dyDescent="0.25">
      <c r="A16" t="str">
        <f t="shared" ref="A16:A32" si="5">F$11</f>
        <v>/paket</v>
      </c>
      <c r="B16" s="10" t="s">
        <v>22</v>
      </c>
      <c r="C16" s="1" t="s">
        <v>60</v>
      </c>
      <c r="E16" t="str">
        <f t="shared" si="4"/>
        <v>Ablieferung: Ablieferungstyp</v>
      </c>
      <c r="F16" t="str">
        <f t="shared" si="0"/>
        <v>/paket/ablieferung</v>
      </c>
      <c r="G16" t="s">
        <v>282</v>
      </c>
      <c r="H16" t="s">
        <v>273</v>
      </c>
    </row>
    <row r="17" spans="1:8" x14ac:dyDescent="0.25">
      <c r="A17" t="str">
        <f t="shared" si="5"/>
        <v>/paket</v>
      </c>
      <c r="B17" s="10" t="s">
        <v>22</v>
      </c>
      <c r="C17" s="1" t="s">
        <v>166</v>
      </c>
      <c r="E17" t="str">
        <f t="shared" si="4"/>
        <v>Ablieferung: Angebotsnummer</v>
      </c>
      <c r="F17" t="str">
        <f t="shared" si="0"/>
        <v>/paket/ablieferung</v>
      </c>
      <c r="G17" t="s">
        <v>282</v>
      </c>
      <c r="H17" t="s">
        <v>273</v>
      </c>
    </row>
    <row r="18" spans="1:8" x14ac:dyDescent="0.25">
      <c r="A18" t="str">
        <f t="shared" si="5"/>
        <v>/paket</v>
      </c>
      <c r="B18" s="10" t="s">
        <v>22</v>
      </c>
      <c r="C18" s="1" t="s">
        <v>61</v>
      </c>
      <c r="E18" t="str">
        <f t="shared" si="4"/>
        <v>Ablieferung: Abliefernde Stelle</v>
      </c>
      <c r="F18" t="str">
        <f t="shared" si="0"/>
        <v>/paket/ablieferung</v>
      </c>
      <c r="G18" t="s">
        <v>282</v>
      </c>
      <c r="H18" t="s">
        <v>273</v>
      </c>
    </row>
    <row r="19" spans="1:8" x14ac:dyDescent="0.25">
      <c r="A19" t="str">
        <f t="shared" si="5"/>
        <v>/paket</v>
      </c>
      <c r="B19" s="10" t="s">
        <v>22</v>
      </c>
      <c r="C19" s="1" t="s">
        <v>62</v>
      </c>
      <c r="D19" t="s">
        <v>266</v>
      </c>
      <c r="E19" t="str">
        <f t="shared" si="4"/>
        <v>Ablieferung: Entstehungszeitraum von/datum</v>
      </c>
      <c r="F19" t="str">
        <f t="shared" si="0"/>
        <v>/paket/ablieferung</v>
      </c>
      <c r="G19" t="s">
        <v>282</v>
      </c>
      <c r="H19" t="s">
        <v>273</v>
      </c>
    </row>
    <row r="20" spans="1:8" x14ac:dyDescent="0.25">
      <c r="A20" t="str">
        <f t="shared" si="5"/>
        <v>/paket</v>
      </c>
      <c r="B20" s="10" t="s">
        <v>22</v>
      </c>
      <c r="C20" s="1" t="s">
        <v>62</v>
      </c>
      <c r="D20" t="s">
        <v>267</v>
      </c>
      <c r="E20" t="str">
        <f t="shared" si="4"/>
        <v>Ablieferung: Entstehungszeitraum bis/datum</v>
      </c>
      <c r="F20" t="str">
        <f t="shared" si="0"/>
        <v>/paket/ablieferung</v>
      </c>
      <c r="G20" t="s">
        <v>282</v>
      </c>
      <c r="H20" t="s">
        <v>273</v>
      </c>
    </row>
    <row r="21" spans="1:8" x14ac:dyDescent="0.25">
      <c r="A21" t="str">
        <f t="shared" si="5"/>
        <v>/paket</v>
      </c>
      <c r="B21" s="10" t="s">
        <v>22</v>
      </c>
      <c r="C21" s="1" t="s">
        <v>62</v>
      </c>
      <c r="D21" t="s">
        <v>265</v>
      </c>
      <c r="E21" t="str">
        <f t="shared" si="4"/>
        <v>Ablieferung: Entstehungszeitraum ca</v>
      </c>
      <c r="F21" t="str">
        <f t="shared" si="0"/>
        <v>/paket/ablieferung</v>
      </c>
      <c r="G21" t="s">
        <v>282</v>
      </c>
      <c r="H21" t="s">
        <v>273</v>
      </c>
    </row>
    <row r="22" spans="1:8" x14ac:dyDescent="0.25">
      <c r="A22" t="str">
        <f t="shared" si="5"/>
        <v>/paket</v>
      </c>
      <c r="B22" s="10" t="s">
        <v>22</v>
      </c>
      <c r="C22" s="1" t="s">
        <v>167</v>
      </c>
      <c r="E22" t="str">
        <f t="shared" si="4"/>
        <v>Ablieferung: Referenz Bewertungsentscheid</v>
      </c>
      <c r="F22" t="str">
        <f t="shared" si="0"/>
        <v>/paket/ablieferung</v>
      </c>
      <c r="G22" t="s">
        <v>282</v>
      </c>
      <c r="H22" t="s">
        <v>273</v>
      </c>
    </row>
    <row r="23" spans="1:8" x14ac:dyDescent="0.25">
      <c r="A23" t="str">
        <f t="shared" si="5"/>
        <v>/paket</v>
      </c>
      <c r="B23" s="10" t="s">
        <v>22</v>
      </c>
      <c r="C23" s="1" t="s">
        <v>168</v>
      </c>
      <c r="E23" t="str">
        <f t="shared" si="4"/>
        <v>Ablieferung: Referenz Schutzfristen Formular</v>
      </c>
      <c r="F23" t="str">
        <f t="shared" si="0"/>
        <v>/paket/ablieferung</v>
      </c>
      <c r="G23" t="s">
        <v>282</v>
      </c>
      <c r="H23" t="s">
        <v>273</v>
      </c>
    </row>
    <row r="24" spans="1:8" x14ac:dyDescent="0.25">
      <c r="A24" t="str">
        <f t="shared" si="5"/>
        <v>/paket</v>
      </c>
      <c r="B24" s="10" t="s">
        <v>22</v>
      </c>
      <c r="C24" s="1" t="s">
        <v>169</v>
      </c>
      <c r="E24" t="str">
        <f t="shared" si="4"/>
        <v>Ablieferung: Schutzfristenkategorie</v>
      </c>
      <c r="F24" t="str">
        <f t="shared" si="0"/>
        <v>/paket/ablieferung</v>
      </c>
      <c r="G24" t="s">
        <v>282</v>
      </c>
      <c r="H24" t="s">
        <v>273</v>
      </c>
    </row>
    <row r="25" spans="1:8" x14ac:dyDescent="0.25">
      <c r="A25" t="str">
        <f t="shared" si="5"/>
        <v>/paket</v>
      </c>
      <c r="B25" s="10" t="s">
        <v>22</v>
      </c>
      <c r="C25" s="1" t="s">
        <v>170</v>
      </c>
      <c r="E25" t="str">
        <f t="shared" si="4"/>
        <v>Ablieferung: Schutzfrist</v>
      </c>
      <c r="F25" t="str">
        <f t="shared" si="0"/>
        <v>/paket/ablieferung</v>
      </c>
      <c r="G25" t="s">
        <v>282</v>
      </c>
      <c r="H25" t="s">
        <v>273</v>
      </c>
    </row>
    <row r="26" spans="1:8" x14ac:dyDescent="0.25">
      <c r="A26" t="str">
        <f t="shared" si="5"/>
        <v>/paket</v>
      </c>
      <c r="B26" s="10" t="s">
        <v>22</v>
      </c>
      <c r="C26" s="1" t="s">
        <v>63</v>
      </c>
      <c r="E26" t="str">
        <f t="shared" si="4"/>
        <v>Ablieferung: Ablieferungsteile</v>
      </c>
      <c r="F26" t="str">
        <f t="shared" si="0"/>
        <v>/paket/ablieferung</v>
      </c>
      <c r="G26" t="s">
        <v>282</v>
      </c>
      <c r="H26" t="s">
        <v>273</v>
      </c>
    </row>
    <row r="27" spans="1:8" x14ac:dyDescent="0.25">
      <c r="A27" t="str">
        <f t="shared" si="5"/>
        <v>/paket</v>
      </c>
      <c r="B27" s="10" t="s">
        <v>22</v>
      </c>
      <c r="C27" s="1" t="s">
        <v>64</v>
      </c>
      <c r="E27" t="str">
        <f t="shared" si="4"/>
        <v>Ablieferung: Bemerkung</v>
      </c>
      <c r="F27" t="str">
        <f t="shared" si="0"/>
        <v>/paket/ablieferung</v>
      </c>
      <c r="G27" t="s">
        <v>282</v>
      </c>
      <c r="H27" t="s">
        <v>273</v>
      </c>
    </row>
    <row r="28" spans="1:8" x14ac:dyDescent="0.25">
      <c r="A28" t="str">
        <f t="shared" si="5"/>
        <v>/paket</v>
      </c>
      <c r="B28" s="10" t="s">
        <v>22</v>
      </c>
      <c r="C28" s="1" t="s">
        <v>59</v>
      </c>
      <c r="E28" t="str">
        <f t="shared" si="4"/>
        <v>Ablieferung: Zusatz Daten</v>
      </c>
      <c r="F28" t="str">
        <f t="shared" si="0"/>
        <v>/paket/ablieferung</v>
      </c>
      <c r="G28" t="s">
        <v>282</v>
      </c>
      <c r="H28" t="s">
        <v>273</v>
      </c>
    </row>
    <row r="29" spans="1:8" x14ac:dyDescent="0.25">
      <c r="A29" t="str">
        <f t="shared" si="5"/>
        <v>/paket</v>
      </c>
      <c r="B29" s="10" t="s">
        <v>22</v>
      </c>
      <c r="C29" s="22" t="s">
        <v>26</v>
      </c>
      <c r="E29" t="str">
        <f t="shared" si="4"/>
        <v>Ablieferung: Provenienz</v>
      </c>
      <c r="F29" t="str">
        <f t="shared" si="0"/>
        <v>/paket/ablieferung</v>
      </c>
      <c r="G29" t="s">
        <v>282</v>
      </c>
      <c r="H29" t="s">
        <v>271</v>
      </c>
    </row>
    <row r="30" spans="1:8" x14ac:dyDescent="0.25">
      <c r="A30" t="str">
        <f t="shared" si="5"/>
        <v>/paket</v>
      </c>
      <c r="B30" s="10" t="s">
        <v>22</v>
      </c>
      <c r="C30" s="23" t="s">
        <v>29</v>
      </c>
      <c r="E30" t="str">
        <f t="shared" si="4"/>
        <v>Ablieferung: Ordnungssystem</v>
      </c>
      <c r="F30" t="str">
        <f t="shared" si="0"/>
        <v>/paket/ablieferung</v>
      </c>
      <c r="G30" t="s">
        <v>282</v>
      </c>
      <c r="H30" t="s">
        <v>271</v>
      </c>
    </row>
    <row r="31" spans="1:8" x14ac:dyDescent="0.25">
      <c r="A31" t="str">
        <f t="shared" si="5"/>
        <v>/paket</v>
      </c>
      <c r="B31" s="10" t="s">
        <v>22</v>
      </c>
      <c r="C31" s="24" t="s">
        <v>40</v>
      </c>
      <c r="E31" t="str">
        <f t="shared" si="4"/>
        <v>Ablieferung: Mappe</v>
      </c>
      <c r="F31" t="str">
        <f t="shared" si="0"/>
        <v>/paket/ablieferung</v>
      </c>
      <c r="G31" t="s">
        <v>282</v>
      </c>
      <c r="H31" t="s">
        <v>271</v>
      </c>
    </row>
    <row r="32" spans="1:8" x14ac:dyDescent="0.25">
      <c r="A32" t="str">
        <f t="shared" si="5"/>
        <v>/paket</v>
      </c>
      <c r="B32" s="10" t="s">
        <v>22</v>
      </c>
      <c r="C32" s="25" t="s">
        <v>56</v>
      </c>
      <c r="E32" t="str">
        <f t="shared" si="4"/>
        <v>Ablieferung: Archivische Notiz</v>
      </c>
      <c r="F32" t="str">
        <f t="shared" si="0"/>
        <v>/paket/ablieferung</v>
      </c>
      <c r="G32" t="s">
        <v>282</v>
      </c>
      <c r="H32" t="s">
        <v>271</v>
      </c>
    </row>
    <row r="33" spans="1:8" x14ac:dyDescent="0.25">
      <c r="A33" t="str">
        <f>F$29</f>
        <v>/paket/ablieferung</v>
      </c>
      <c r="B33" s="13" t="s">
        <v>26</v>
      </c>
      <c r="C33" s="1" t="s">
        <v>264</v>
      </c>
      <c r="E33" t="str">
        <f t="shared" si="4"/>
        <v xml:space="preserve">Provenienz: Aktenbildner Name </v>
      </c>
      <c r="F33" t="str">
        <f t="shared" si="0"/>
        <v>/paket/ablieferung/provenienz</v>
      </c>
      <c r="G33" t="s">
        <v>282</v>
      </c>
      <c r="H33" t="s">
        <v>273</v>
      </c>
    </row>
    <row r="34" spans="1:8" x14ac:dyDescent="0.25">
      <c r="A34" t="str">
        <f t="shared" ref="A34:A44" si="6">F$29</f>
        <v>/paket/ablieferung</v>
      </c>
      <c r="B34" s="13" t="s">
        <v>26</v>
      </c>
      <c r="C34" s="1" t="s">
        <v>66</v>
      </c>
      <c r="E34" t="str">
        <f t="shared" si="4"/>
        <v>Provenienz: System Name</v>
      </c>
      <c r="F34" t="str">
        <f t="shared" si="0"/>
        <v>/paket/ablieferung/provenienz</v>
      </c>
      <c r="G34" t="s">
        <v>282</v>
      </c>
      <c r="H34" t="s">
        <v>273</v>
      </c>
    </row>
    <row r="35" spans="1:8" x14ac:dyDescent="0.25">
      <c r="A35" t="str">
        <f t="shared" si="6"/>
        <v>/paket/ablieferung</v>
      </c>
      <c r="B35" s="13" t="s">
        <v>26</v>
      </c>
      <c r="C35" s="1" t="s">
        <v>67</v>
      </c>
      <c r="E35" t="str">
        <f t="shared" si="4"/>
        <v>Provenienz: System Beschreibung</v>
      </c>
      <c r="F35" t="str">
        <f t="shared" si="0"/>
        <v>/paket/ablieferung/provenienz</v>
      </c>
      <c r="G35" t="s">
        <v>282</v>
      </c>
      <c r="H35" t="s">
        <v>273</v>
      </c>
    </row>
    <row r="36" spans="1:8" x14ac:dyDescent="0.25">
      <c r="A36" t="str">
        <f t="shared" si="6"/>
        <v>/paket/ablieferung</v>
      </c>
      <c r="B36" s="13" t="s">
        <v>26</v>
      </c>
      <c r="C36" s="1" t="s">
        <v>171</v>
      </c>
      <c r="E36" t="str">
        <f t="shared" si="4"/>
        <v>Provenienz: Registratur</v>
      </c>
      <c r="F36" t="str">
        <f t="shared" si="0"/>
        <v>/paket/ablieferung/provenienz</v>
      </c>
      <c r="G36" t="s">
        <v>282</v>
      </c>
      <c r="H36" t="s">
        <v>273</v>
      </c>
    </row>
    <row r="37" spans="1:8" x14ac:dyDescent="0.25">
      <c r="A37" t="str">
        <f t="shared" si="6"/>
        <v>/paket/ablieferung</v>
      </c>
      <c r="B37" s="13" t="s">
        <v>26</v>
      </c>
      <c r="C37" s="1" t="s">
        <v>172</v>
      </c>
      <c r="E37" t="str">
        <f t="shared" si="4"/>
        <v>Provenienz: Verwandte Systeme</v>
      </c>
      <c r="F37" t="str">
        <f t="shared" si="0"/>
        <v>/paket/ablieferung/provenienz</v>
      </c>
      <c r="G37" t="s">
        <v>282</v>
      </c>
      <c r="H37" t="s">
        <v>273</v>
      </c>
    </row>
    <row r="38" spans="1:8" x14ac:dyDescent="0.25">
      <c r="A38" t="str">
        <f t="shared" si="6"/>
        <v>/paket/ablieferung</v>
      </c>
      <c r="B38" s="13" t="s">
        <v>26</v>
      </c>
      <c r="C38" s="1" t="s">
        <v>173</v>
      </c>
      <c r="E38" t="str">
        <f t="shared" si="4"/>
        <v>Provenienz: Archivierungsmodus Löschvorschriften</v>
      </c>
      <c r="F38" t="str">
        <f t="shared" si="0"/>
        <v>/paket/ablieferung/provenienz</v>
      </c>
      <c r="G38" t="s">
        <v>282</v>
      </c>
      <c r="H38" t="s">
        <v>273</v>
      </c>
    </row>
    <row r="39" spans="1:8" x14ac:dyDescent="0.25">
      <c r="A39" t="str">
        <f t="shared" si="6"/>
        <v>/paket/ablieferung</v>
      </c>
      <c r="B39" s="13" t="s">
        <v>26</v>
      </c>
      <c r="C39" s="1" t="s">
        <v>68</v>
      </c>
      <c r="D39" t="s">
        <v>266</v>
      </c>
      <c r="E39" t="str">
        <f t="shared" si="4"/>
        <v>Provenienz: Existenzzeitraum von/datum</v>
      </c>
      <c r="F39" t="str">
        <f t="shared" si="0"/>
        <v>/paket/ablieferung/provenienz</v>
      </c>
      <c r="G39" t="s">
        <v>282</v>
      </c>
      <c r="H39" t="s">
        <v>273</v>
      </c>
    </row>
    <row r="40" spans="1:8" x14ac:dyDescent="0.25">
      <c r="A40" t="str">
        <f t="shared" si="6"/>
        <v>/paket/ablieferung</v>
      </c>
      <c r="B40" s="13" t="s">
        <v>26</v>
      </c>
      <c r="C40" s="1" t="s">
        <v>68</v>
      </c>
      <c r="D40" t="s">
        <v>267</v>
      </c>
      <c r="E40" t="str">
        <f t="shared" ref="E40:E71" si="7"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282</v>
      </c>
      <c r="H40" t="s">
        <v>273</v>
      </c>
    </row>
    <row r="41" spans="1:8" x14ac:dyDescent="0.25">
      <c r="A41" t="str">
        <f t="shared" si="6"/>
        <v>/paket/ablieferung</v>
      </c>
      <c r="B41" s="13" t="s">
        <v>26</v>
      </c>
      <c r="C41" s="1" t="s">
        <v>68</v>
      </c>
      <c r="D41" t="s">
        <v>265</v>
      </c>
      <c r="E41" t="str">
        <f t="shared" si="7"/>
        <v>Provenienz: Existenzzeitraum ca</v>
      </c>
      <c r="F41" t="str">
        <f t="shared" si="0"/>
        <v>/paket/ablieferung/provenienz</v>
      </c>
      <c r="G41" t="s">
        <v>282</v>
      </c>
      <c r="H41" t="s">
        <v>273</v>
      </c>
    </row>
    <row r="42" spans="1:8" x14ac:dyDescent="0.25">
      <c r="A42" t="str">
        <f t="shared" si="6"/>
        <v>/paket/ablieferung</v>
      </c>
      <c r="B42" s="13" t="s">
        <v>26</v>
      </c>
      <c r="C42" s="1" t="s">
        <v>69</v>
      </c>
      <c r="E42" t="str">
        <f t="shared" si="7"/>
        <v>Provenienz: Geschichte Aktenbildner</v>
      </c>
      <c r="F42" t="str">
        <f t="shared" si="0"/>
        <v>/paket/ablieferung/provenienz</v>
      </c>
      <c r="G42" t="s">
        <v>282</v>
      </c>
      <c r="H42" t="s">
        <v>273</v>
      </c>
    </row>
    <row r="43" spans="1:8" x14ac:dyDescent="0.25">
      <c r="A43" t="str">
        <f t="shared" si="6"/>
        <v>/paket/ablieferung</v>
      </c>
      <c r="B43" s="13" t="s">
        <v>26</v>
      </c>
      <c r="C43" s="1" t="s">
        <v>64</v>
      </c>
      <c r="E43" t="str">
        <f t="shared" si="7"/>
        <v>Provenienz: Bemerkung</v>
      </c>
      <c r="F43" t="str">
        <f t="shared" si="0"/>
        <v>/paket/ablieferung/provenienz</v>
      </c>
      <c r="G43" t="s">
        <v>282</v>
      </c>
      <c r="H43" t="s">
        <v>273</v>
      </c>
    </row>
    <row r="44" spans="1:8" x14ac:dyDescent="0.25">
      <c r="A44" t="str">
        <f t="shared" si="6"/>
        <v>/paket/ablieferung</v>
      </c>
      <c r="B44" s="13" t="s">
        <v>26</v>
      </c>
      <c r="C44" s="25" t="s">
        <v>56</v>
      </c>
      <c r="E44" t="str">
        <f t="shared" si="7"/>
        <v>Provenienz: Archivische Notiz</v>
      </c>
      <c r="F44" t="str">
        <f t="shared" si="0"/>
        <v>/paket/ablieferung/provenienz</v>
      </c>
      <c r="G44" t="s">
        <v>282</v>
      </c>
      <c r="H44" t="s">
        <v>271</v>
      </c>
    </row>
    <row r="45" spans="1:8" x14ac:dyDescent="0.25">
      <c r="A45" t="str">
        <f t="shared" ref="A45:A55" si="8">F$30</f>
        <v>/paket/ablieferung</v>
      </c>
      <c r="B45" s="14" t="s">
        <v>29</v>
      </c>
      <c r="C45" s="1" t="s">
        <v>1</v>
      </c>
      <c r="E45" t="str">
        <f t="shared" si="7"/>
        <v>Ordnungssystem: Name</v>
      </c>
      <c r="F45" t="str">
        <f t="shared" si="0"/>
        <v>/paket/ablieferung/ordnungssystem</v>
      </c>
      <c r="G45" t="s">
        <v>282</v>
      </c>
      <c r="H45" t="s">
        <v>273</v>
      </c>
    </row>
    <row r="46" spans="1:8" x14ac:dyDescent="0.25">
      <c r="A46" t="str">
        <f t="shared" si="8"/>
        <v>/paket/ablieferung</v>
      </c>
      <c r="B46" s="14" t="s">
        <v>29</v>
      </c>
      <c r="C46" s="1" t="s">
        <v>70</v>
      </c>
      <c r="E46" t="str">
        <f t="shared" si="7"/>
        <v>Ordnungssystem: Generation</v>
      </c>
      <c r="F46" t="str">
        <f t="shared" si="0"/>
        <v>/paket/ablieferung/ordnungssystem</v>
      </c>
      <c r="G46" t="s">
        <v>282</v>
      </c>
      <c r="H46" t="s">
        <v>273</v>
      </c>
    </row>
    <row r="47" spans="1:8" x14ac:dyDescent="0.25">
      <c r="A47" t="str">
        <f t="shared" si="8"/>
        <v>/paket/ablieferung</v>
      </c>
      <c r="B47" s="14" t="s">
        <v>29</v>
      </c>
      <c r="C47" s="1" t="s">
        <v>71</v>
      </c>
      <c r="D47" t="s">
        <v>266</v>
      </c>
      <c r="E47" t="str">
        <f t="shared" si="7"/>
        <v>Ordnungssystem: Anwendungszeitraum von/datum</v>
      </c>
      <c r="F47" t="str">
        <f t="shared" si="0"/>
        <v>/paket/ablieferung/ordnungssystem</v>
      </c>
      <c r="G47" t="s">
        <v>282</v>
      </c>
      <c r="H47" t="s">
        <v>273</v>
      </c>
    </row>
    <row r="48" spans="1:8" x14ac:dyDescent="0.25">
      <c r="A48" t="str">
        <f t="shared" si="8"/>
        <v>/paket/ablieferung</v>
      </c>
      <c r="B48" s="14" t="s">
        <v>29</v>
      </c>
      <c r="C48" s="1" t="s">
        <v>71</v>
      </c>
      <c r="D48" t="s">
        <v>267</v>
      </c>
      <c r="E48" t="str">
        <f t="shared" si="7"/>
        <v>Ordnungssystem: Anwendungszeitraum bis/datum</v>
      </c>
      <c r="F48" t="str">
        <f t="shared" si="0"/>
        <v>/paket/ablieferung/ordnungssystem</v>
      </c>
      <c r="G48" t="s">
        <v>282</v>
      </c>
      <c r="H48" t="s">
        <v>273</v>
      </c>
    </row>
    <row r="49" spans="1:8" x14ac:dyDescent="0.25">
      <c r="A49" t="str">
        <f t="shared" si="8"/>
        <v>/paket/ablieferung</v>
      </c>
      <c r="B49" s="14" t="s">
        <v>29</v>
      </c>
      <c r="C49" s="1" t="s">
        <v>71</v>
      </c>
      <c r="D49" t="s">
        <v>265</v>
      </c>
      <c r="E49" t="str">
        <f t="shared" si="7"/>
        <v>Ordnungssystem: Anwendungszeitraum ca</v>
      </c>
      <c r="F49" t="str">
        <f t="shared" si="0"/>
        <v>/paket/ablieferung/ordnungssystem</v>
      </c>
      <c r="G49" t="s">
        <v>282</v>
      </c>
      <c r="H49" t="s">
        <v>273</v>
      </c>
    </row>
    <row r="50" spans="1:8" x14ac:dyDescent="0.25">
      <c r="A50" t="str">
        <f t="shared" si="8"/>
        <v>/paket/ablieferung</v>
      </c>
      <c r="B50" s="14" t="s">
        <v>29</v>
      </c>
      <c r="C50" s="1" t="s">
        <v>72</v>
      </c>
      <c r="E50" t="str">
        <f t="shared" si="7"/>
        <v>Ordnungssystem: Mitbenutzung</v>
      </c>
      <c r="F50" t="str">
        <f t="shared" si="0"/>
        <v>/paket/ablieferung/ordnungssystem</v>
      </c>
      <c r="G50" t="s">
        <v>282</v>
      </c>
      <c r="H50" t="s">
        <v>273</v>
      </c>
    </row>
    <row r="51" spans="1:8" x14ac:dyDescent="0.25">
      <c r="A51" t="str">
        <f t="shared" si="8"/>
        <v>/paket/ablieferung</v>
      </c>
      <c r="B51" s="14" t="s">
        <v>29</v>
      </c>
      <c r="C51" s="1" t="s">
        <v>64</v>
      </c>
      <c r="E51" t="str">
        <f t="shared" si="7"/>
        <v>Ordnungssystem: Bemerkung</v>
      </c>
      <c r="F51" t="str">
        <f t="shared" si="0"/>
        <v>/paket/ablieferung/ordnungssystem</v>
      </c>
      <c r="G51" t="s">
        <v>282</v>
      </c>
      <c r="H51" t="s">
        <v>273</v>
      </c>
    </row>
    <row r="52" spans="1:8" x14ac:dyDescent="0.25">
      <c r="A52" t="str">
        <f t="shared" si="8"/>
        <v>/paket/ablieferung</v>
      </c>
      <c r="B52" s="14" t="s">
        <v>29</v>
      </c>
      <c r="C52" s="1" t="s">
        <v>59</v>
      </c>
      <c r="E52" t="str">
        <f t="shared" si="7"/>
        <v>Ordnungssystem: Zusatz Daten</v>
      </c>
      <c r="F52" t="str">
        <f t="shared" si="0"/>
        <v>/paket/ablieferung/ordnungssystem</v>
      </c>
      <c r="G52" t="s">
        <v>282</v>
      </c>
      <c r="H52" t="s">
        <v>273</v>
      </c>
    </row>
    <row r="53" spans="1:8" x14ac:dyDescent="0.25">
      <c r="A53" t="str">
        <f t="shared" si="8"/>
        <v>/paket/ablieferung</v>
      </c>
      <c r="B53" s="14" t="s">
        <v>29</v>
      </c>
      <c r="C53" s="26" t="s">
        <v>32</v>
      </c>
      <c r="E53" t="str">
        <f t="shared" si="7"/>
        <v>Ordnungssystem: Ordnungssystemposition</v>
      </c>
      <c r="F53" t="str">
        <f t="shared" si="0"/>
        <v>/paket/ablieferung/ordnungssystem</v>
      </c>
      <c r="G53" t="s">
        <v>282</v>
      </c>
      <c r="H53" t="s">
        <v>271</v>
      </c>
    </row>
    <row r="54" spans="1:8" x14ac:dyDescent="0.25">
      <c r="A54" t="str">
        <f t="shared" si="8"/>
        <v>/paket/ablieferung</v>
      </c>
      <c r="B54" s="14" t="s">
        <v>29</v>
      </c>
      <c r="C54" s="24" t="s">
        <v>40</v>
      </c>
      <c r="E54" t="str">
        <f t="shared" si="7"/>
        <v>Ordnungssystem: Mappe</v>
      </c>
      <c r="F54" t="str">
        <f t="shared" si="0"/>
        <v>/paket/ablieferung/ordnungssystem</v>
      </c>
      <c r="G54" t="s">
        <v>282</v>
      </c>
      <c r="H54" t="s">
        <v>271</v>
      </c>
    </row>
    <row r="55" spans="1:8" x14ac:dyDescent="0.25">
      <c r="A55" t="str">
        <f t="shared" si="8"/>
        <v>/paket/ablieferung</v>
      </c>
      <c r="B55" s="14" t="s">
        <v>29</v>
      </c>
      <c r="C55" s="25" t="s">
        <v>56</v>
      </c>
      <c r="E55" t="str">
        <f t="shared" si="7"/>
        <v>Ordnungssystem: Archivische Notiz</v>
      </c>
      <c r="F55" t="str">
        <f t="shared" si="0"/>
        <v>/paket/ablieferung/ordnungssystem</v>
      </c>
      <c r="G55" t="s">
        <v>282</v>
      </c>
      <c r="H55" t="s">
        <v>271</v>
      </c>
    </row>
    <row r="56" spans="1:8" x14ac:dyDescent="0.25">
      <c r="A56" t="str">
        <f>F$53</f>
        <v>/paket/ablieferung/ordnungssystem</v>
      </c>
      <c r="B56" s="15" t="s">
        <v>32</v>
      </c>
      <c r="C56" s="1" t="s">
        <v>154</v>
      </c>
      <c r="E56" t="str">
        <f t="shared" si="7"/>
        <v>Ordnungssystemposition: Id</v>
      </c>
      <c r="F56" t="str">
        <f t="shared" si="0"/>
        <v>/paket/ablieferung/ordnungssystem/ordnungssystemposition</v>
      </c>
      <c r="G56" t="s">
        <v>282</v>
      </c>
      <c r="H56" t="s">
        <v>273</v>
      </c>
    </row>
    <row r="57" spans="1:8" x14ac:dyDescent="0.25">
      <c r="A57" t="str">
        <f t="shared" ref="A57:A73" si="9">F$53</f>
        <v>/paket/ablieferung/ordnungssystem</v>
      </c>
      <c r="B57" s="15" t="s">
        <v>32</v>
      </c>
      <c r="C57" s="1" t="s">
        <v>153</v>
      </c>
      <c r="E57" t="str">
        <f t="shared" si="7"/>
        <v>Ordnungssystemposition: Reihung</v>
      </c>
      <c r="F57" t="str">
        <f t="shared" si="0"/>
        <v>/paket/ablieferung/ordnungssystem/ordnungssystemposition</v>
      </c>
      <c r="G57" t="s">
        <v>282</v>
      </c>
      <c r="H57" t="s">
        <v>273</v>
      </c>
    </row>
    <row r="58" spans="1:8" x14ac:dyDescent="0.25">
      <c r="A58" t="str">
        <f t="shared" si="9"/>
        <v>/paket/ablieferung/ordnungssystem</v>
      </c>
      <c r="B58" s="15" t="s">
        <v>32</v>
      </c>
      <c r="C58" s="1" t="s">
        <v>174</v>
      </c>
      <c r="E58" t="str">
        <f t="shared" si="7"/>
        <v>Ordnungssystemposition: Nummer</v>
      </c>
      <c r="F58" t="str">
        <f t="shared" si="0"/>
        <v>/paket/ablieferung/ordnungssystem/ordnungssystemposition</v>
      </c>
      <c r="G58" t="s">
        <v>282</v>
      </c>
      <c r="H58" t="s">
        <v>273</v>
      </c>
    </row>
    <row r="59" spans="1:8" x14ac:dyDescent="0.25">
      <c r="A59" t="str">
        <f t="shared" si="9"/>
        <v>/paket/ablieferung/ordnungssystem</v>
      </c>
      <c r="B59" s="15" t="s">
        <v>32</v>
      </c>
      <c r="C59" s="1" t="s">
        <v>80</v>
      </c>
      <c r="E59" t="str">
        <f t="shared" si="7"/>
        <v>Ordnungssystemposition: Titel</v>
      </c>
      <c r="F59" t="str">
        <f t="shared" si="0"/>
        <v>/paket/ablieferung/ordnungssystem/ordnungssystemposition</v>
      </c>
      <c r="G59" t="s">
        <v>282</v>
      </c>
      <c r="H59" t="s">
        <v>273</v>
      </c>
    </row>
    <row r="60" spans="1:8" x14ac:dyDescent="0.25">
      <c r="A60" t="str">
        <f t="shared" si="9"/>
        <v>/paket/ablieferung/ordnungssystem</v>
      </c>
      <c r="B60" s="15" t="s">
        <v>32</v>
      </c>
      <c r="C60" s="1" t="s">
        <v>73</v>
      </c>
      <c r="E60" t="str">
        <f t="shared" si="7"/>
        <v>Ordnungssystemposition: Federführende Organisationseinheit</v>
      </c>
      <c r="F60" t="str">
        <f t="shared" si="0"/>
        <v>/paket/ablieferung/ordnungssystem/ordnungssystemposition</v>
      </c>
      <c r="G60" t="s">
        <v>282</v>
      </c>
      <c r="H60" t="s">
        <v>273</v>
      </c>
    </row>
    <row r="61" spans="1:8" x14ac:dyDescent="0.25">
      <c r="A61" t="str">
        <f t="shared" si="9"/>
        <v>/paket/ablieferung/ordnungssystem</v>
      </c>
      <c r="B61" s="15" t="s">
        <v>32</v>
      </c>
      <c r="C61" s="1" t="s">
        <v>169</v>
      </c>
      <c r="E61" t="str">
        <f t="shared" si="7"/>
        <v>Ordnungssystemposition: Schutzfristenkategorie</v>
      </c>
      <c r="F61" t="str">
        <f t="shared" si="0"/>
        <v>/paket/ablieferung/ordnungssystem/ordnungssystemposition</v>
      </c>
      <c r="G61" t="s">
        <v>282</v>
      </c>
      <c r="H61" t="s">
        <v>273</v>
      </c>
    </row>
    <row r="62" spans="1:8" x14ac:dyDescent="0.25">
      <c r="A62" t="str">
        <f t="shared" si="9"/>
        <v>/paket/ablieferung/ordnungssystem</v>
      </c>
      <c r="B62" s="15" t="s">
        <v>32</v>
      </c>
      <c r="C62" s="1" t="s">
        <v>170</v>
      </c>
      <c r="E62" t="str">
        <f t="shared" si="7"/>
        <v>Ordnungssystemposition: Schutzfrist</v>
      </c>
      <c r="F62" t="str">
        <f t="shared" si="0"/>
        <v>/paket/ablieferung/ordnungssystem/ordnungssystemposition</v>
      </c>
      <c r="G62" t="s">
        <v>282</v>
      </c>
      <c r="H62" t="s">
        <v>273</v>
      </c>
    </row>
    <row r="63" spans="1:8" x14ac:dyDescent="0.25">
      <c r="A63" t="str">
        <f t="shared" si="9"/>
        <v>/paket/ablieferung/ordnungssystem</v>
      </c>
      <c r="B63" s="15" t="s">
        <v>32</v>
      </c>
      <c r="C63" s="1" t="s">
        <v>175</v>
      </c>
      <c r="E63" t="str">
        <f t="shared" si="7"/>
        <v>Ordnungssystemposition: Schutzfristen Begründung</v>
      </c>
      <c r="F63" t="str">
        <f t="shared" si="0"/>
        <v>/paket/ablieferung/ordnungssystem/ordnungssystemposition</v>
      </c>
      <c r="G63" t="s">
        <v>282</v>
      </c>
      <c r="H63" t="s">
        <v>273</v>
      </c>
    </row>
    <row r="64" spans="1:8" x14ac:dyDescent="0.25">
      <c r="A64" t="str">
        <f t="shared" si="9"/>
        <v>/paket/ablieferung/ordnungssystem</v>
      </c>
      <c r="B64" s="15" t="s">
        <v>32</v>
      </c>
      <c r="C64" s="1" t="s">
        <v>74</v>
      </c>
      <c r="E64" t="str">
        <f t="shared" si="7"/>
        <v>Ordnungssystemposition: Klassifizierungskategorie</v>
      </c>
      <c r="F64" t="str">
        <f t="shared" si="0"/>
        <v>/paket/ablieferung/ordnungssystem/ordnungssystemposition</v>
      </c>
      <c r="G64" t="s">
        <v>282</v>
      </c>
      <c r="H64" t="s">
        <v>273</v>
      </c>
    </row>
    <row r="65" spans="1:8" x14ac:dyDescent="0.25">
      <c r="A65" t="str">
        <f t="shared" si="9"/>
        <v>/paket/ablieferung/ordnungssystem</v>
      </c>
      <c r="B65" s="15" t="s">
        <v>32</v>
      </c>
      <c r="C65" s="1" t="s">
        <v>75</v>
      </c>
      <c r="E65" t="str">
        <f t="shared" si="7"/>
        <v>Ordnungssystemposition: Datenschutz</v>
      </c>
      <c r="F65" t="str">
        <f t="shared" si="0"/>
        <v>/paket/ablieferung/ordnungssystem/ordnungssystemposition</v>
      </c>
      <c r="G65" t="s">
        <v>282</v>
      </c>
      <c r="H65" t="s">
        <v>273</v>
      </c>
    </row>
    <row r="66" spans="1:8" x14ac:dyDescent="0.25">
      <c r="A66" t="str">
        <f t="shared" si="9"/>
        <v>/paket/ablieferung/ordnungssystem</v>
      </c>
      <c r="B66" s="15" t="s">
        <v>32</v>
      </c>
      <c r="C66" s="1" t="s">
        <v>76</v>
      </c>
      <c r="E66" t="str">
        <f t="shared" si="7"/>
        <v>Ordnungssystemposition: Öffentlichkeitsstatus</v>
      </c>
      <c r="F66" t="str">
        <f t="shared" si="0"/>
        <v>/paket/ablieferung/ordnungssystem/ordnungssystemposition</v>
      </c>
      <c r="G66" t="s">
        <v>282</v>
      </c>
      <c r="H66" t="s">
        <v>273</v>
      </c>
    </row>
    <row r="67" spans="1:8" x14ac:dyDescent="0.25">
      <c r="A67" t="str">
        <f t="shared" si="9"/>
        <v>/paket/ablieferung/ordnungssystem</v>
      </c>
      <c r="B67" s="15" t="s">
        <v>32</v>
      </c>
      <c r="C67" s="1" t="s">
        <v>77</v>
      </c>
      <c r="E67" t="str">
        <f t="shared" si="7"/>
        <v>Ordnungssystemposition: Öffentlichkeitsstatus Begründung</v>
      </c>
      <c r="F67" t="str">
        <f t="shared" si="0"/>
        <v>/paket/ablieferung/ordnungssystem/ordnungssystemposition</v>
      </c>
      <c r="G67" t="s">
        <v>282</v>
      </c>
      <c r="H67" t="s">
        <v>273</v>
      </c>
    </row>
    <row r="68" spans="1:8" x14ac:dyDescent="0.25">
      <c r="A68" t="str">
        <f t="shared" si="9"/>
        <v>/paket/ablieferung/ordnungssystem</v>
      </c>
      <c r="B68" s="15" t="s">
        <v>32</v>
      </c>
      <c r="C68" s="1" t="s">
        <v>78</v>
      </c>
      <c r="E68" t="str">
        <f t="shared" si="7"/>
        <v>Ordnungssystemposition: Sonstige Bestimmungen</v>
      </c>
      <c r="F68" t="str">
        <f t="shared" si="0"/>
        <v>/paket/ablieferung/ordnungssystem/ordnungssystemposition</v>
      </c>
      <c r="G68" t="s">
        <v>282</v>
      </c>
      <c r="H68" t="s">
        <v>273</v>
      </c>
    </row>
    <row r="69" spans="1:8" x14ac:dyDescent="0.25">
      <c r="A69" t="str">
        <f t="shared" si="9"/>
        <v>/paket/ablieferung/ordnungssystem</v>
      </c>
      <c r="B69" s="15" t="s">
        <v>32</v>
      </c>
      <c r="C69" s="1" t="s">
        <v>59</v>
      </c>
      <c r="E69" t="str">
        <f t="shared" si="7"/>
        <v>Ordnungssystemposition: Zusatz Daten</v>
      </c>
      <c r="F69" t="str">
        <f t="shared" si="0"/>
        <v>/paket/ablieferung/ordnungssystem/ordnungssystemposition</v>
      </c>
      <c r="G69" t="s">
        <v>282</v>
      </c>
      <c r="H69" t="s">
        <v>273</v>
      </c>
    </row>
    <row r="70" spans="1:8" x14ac:dyDescent="0.25">
      <c r="A70" t="str">
        <f t="shared" si="9"/>
        <v>/paket/ablieferung/ordnungssystem</v>
      </c>
      <c r="B70" s="15" t="s">
        <v>32</v>
      </c>
      <c r="C70" s="26" t="s">
        <v>32</v>
      </c>
      <c r="E70" t="str">
        <f t="shared" si="7"/>
        <v>Ordnungssystemposition: Ordnungssystemposition</v>
      </c>
      <c r="F70" t="str">
        <f t="shared" si="0"/>
        <v>/paket/ablieferung/ordnungssystem/ordnungssystemposition</v>
      </c>
      <c r="G70" t="s">
        <v>282</v>
      </c>
      <c r="H70" t="s">
        <v>271</v>
      </c>
    </row>
    <row r="71" spans="1:8" x14ac:dyDescent="0.25">
      <c r="A71" t="str">
        <f t="shared" si="9"/>
        <v>/paket/ablieferung/ordnungssystem</v>
      </c>
      <c r="B71" s="15" t="s">
        <v>32</v>
      </c>
      <c r="C71" s="27" t="s">
        <v>35</v>
      </c>
      <c r="E71" t="str">
        <f t="shared" si="7"/>
        <v>Ordnungssystemposition: Dossier</v>
      </c>
      <c r="F71" t="str">
        <f t="shared" ref="F71:F73" si="10">A71&amp;"/"&amp;B71</f>
        <v>/paket/ablieferung/ordnungssystem/ordnungssystemposition</v>
      </c>
      <c r="G71" t="s">
        <v>282</v>
      </c>
      <c r="H71" t="s">
        <v>271</v>
      </c>
    </row>
    <row r="72" spans="1:8" x14ac:dyDescent="0.25">
      <c r="A72" t="str">
        <f t="shared" si="9"/>
        <v>/paket/ablieferung/ordnungssystem</v>
      </c>
      <c r="B72" s="15" t="s">
        <v>32</v>
      </c>
      <c r="C72" s="24" t="s">
        <v>40</v>
      </c>
      <c r="E72" t="str">
        <f t="shared" ref="E72:E73" si="11">PROPER(Umlaut(AddSpace(B72),1))&amp;": "&amp;PROPER(Umlaut(AddSpace(C72),1))&amp;IF(D72="",""," "&amp;D72)</f>
        <v>Ordnungssystemposition: Mappe</v>
      </c>
      <c r="F72" t="str">
        <f t="shared" si="10"/>
        <v>/paket/ablieferung/ordnungssystem/ordnungssystemposition</v>
      </c>
      <c r="G72" t="s">
        <v>282</v>
      </c>
      <c r="H72" t="s">
        <v>271</v>
      </c>
    </row>
    <row r="73" spans="1:8" x14ac:dyDescent="0.25">
      <c r="A73" t="str">
        <f t="shared" si="9"/>
        <v>/paket/ablieferung/ordnungssystem</v>
      </c>
      <c r="B73" s="15" t="s">
        <v>32</v>
      </c>
      <c r="C73" s="25" t="s">
        <v>56</v>
      </c>
      <c r="E73" t="str">
        <f t="shared" si="11"/>
        <v>Ordnungssystemposition: Archivische Notiz</v>
      </c>
      <c r="F73" t="str">
        <f t="shared" si="10"/>
        <v>/paket/ablieferung/ordnungssystem/ordnungssystemposition</v>
      </c>
      <c r="G73" t="s">
        <v>282</v>
      </c>
      <c r="H73" t="s">
        <v>271</v>
      </c>
    </row>
    <row r="74" spans="1:8" x14ac:dyDescent="0.25">
      <c r="A74" t="str">
        <f>F$73</f>
        <v>/paket/ablieferung/ordnungssystem/ordnungssystemposition</v>
      </c>
      <c r="B74" s="28" t="s">
        <v>35</v>
      </c>
      <c r="C74" s="1" t="s">
        <v>79</v>
      </c>
      <c r="D74" s="1"/>
      <c r="E74" t="str">
        <f t="shared" ref="E74:E97" si="12">PROPER(Umlaut(AddSpace(B74),1))&amp;": "&amp;PROPER(Umlaut(AddSpace(C74),1))&amp;IF(D74="",""," "&amp;D74)</f>
        <v>Dossier: Zusatzmerkmal</v>
      </c>
      <c r="F74" t="str">
        <f t="shared" ref="F74" si="13">A74&amp;"/"&amp;B74</f>
        <v>/paket/ablieferung/ordnungssystem/ordnungssystemposition/dossier</v>
      </c>
      <c r="G74" t="s">
        <v>282</v>
      </c>
      <c r="H74" t="s">
        <v>273</v>
      </c>
    </row>
    <row r="75" spans="1:8" x14ac:dyDescent="0.25">
      <c r="A75" t="str">
        <f t="shared" ref="A75:A99" si="14">F$73</f>
        <v>/paket/ablieferung/ordnungssystem/ordnungssystemposition</v>
      </c>
      <c r="B75" s="28" t="s">
        <v>35</v>
      </c>
      <c r="C75" s="1" t="s">
        <v>80</v>
      </c>
      <c r="D75" s="1"/>
      <c r="E75" t="str">
        <f t="shared" si="12"/>
        <v>Dossier: Titel</v>
      </c>
      <c r="F75" t="str">
        <f t="shared" ref="F75:F116" si="15">A75&amp;"/"&amp;B75</f>
        <v>/paket/ablieferung/ordnungssystem/ordnungssystemposition/dossier</v>
      </c>
      <c r="G75" t="s">
        <v>282</v>
      </c>
      <c r="H75" t="s">
        <v>273</v>
      </c>
    </row>
    <row r="76" spans="1:8" x14ac:dyDescent="0.25">
      <c r="A76" t="str">
        <f t="shared" si="14"/>
        <v>/paket/ablieferung/ordnungssystem/ordnungssystemposition</v>
      </c>
      <c r="B76" s="28" t="s">
        <v>35</v>
      </c>
      <c r="C76" s="1" t="s">
        <v>81</v>
      </c>
      <c r="D76" s="1"/>
      <c r="E76" t="str">
        <f t="shared" si="12"/>
        <v>Dossier: Inhalt</v>
      </c>
      <c r="F76" t="str">
        <f t="shared" si="15"/>
        <v>/paket/ablieferung/ordnungssystem/ordnungssystemposition/dossier</v>
      </c>
      <c r="G76" t="s">
        <v>282</v>
      </c>
      <c r="H76" t="s">
        <v>273</v>
      </c>
    </row>
    <row r="77" spans="1:8" x14ac:dyDescent="0.25">
      <c r="A77" t="str">
        <f t="shared" si="14"/>
        <v>/paket/ablieferung/ordnungssystem/ordnungssystemposition</v>
      </c>
      <c r="B77" s="28" t="s">
        <v>35</v>
      </c>
      <c r="C77" s="1" t="s">
        <v>82</v>
      </c>
      <c r="D77" s="1"/>
      <c r="E77" t="str">
        <f t="shared" si="12"/>
        <v>Dossier: Form Inhalt</v>
      </c>
      <c r="F77" t="str">
        <f t="shared" si="15"/>
        <v>/paket/ablieferung/ordnungssystem/ordnungssystemposition/dossier</v>
      </c>
      <c r="G77" t="s">
        <v>282</v>
      </c>
      <c r="H77" t="s">
        <v>273</v>
      </c>
    </row>
    <row r="78" spans="1:8" x14ac:dyDescent="0.25">
      <c r="A78" t="str">
        <f t="shared" si="14"/>
        <v>/paket/ablieferung/ordnungssystem/ordnungssystemposition</v>
      </c>
      <c r="B78" s="28" t="s">
        <v>35</v>
      </c>
      <c r="C78" s="1" t="s">
        <v>83</v>
      </c>
      <c r="D78" s="1"/>
      <c r="E78" t="str">
        <f t="shared" si="12"/>
        <v>Dossier: Erscheinungsform</v>
      </c>
      <c r="F78" t="str">
        <f t="shared" si="15"/>
        <v>/paket/ablieferung/ordnungssystem/ordnungssystemposition/dossier</v>
      </c>
      <c r="G78" t="s">
        <v>282</v>
      </c>
      <c r="H78" t="s">
        <v>273</v>
      </c>
    </row>
    <row r="79" spans="1:8" x14ac:dyDescent="0.25">
      <c r="A79" t="str">
        <f t="shared" si="14"/>
        <v>/paket/ablieferung/ordnungssystem/ordnungssystemposition</v>
      </c>
      <c r="B79" s="28" t="s">
        <v>35</v>
      </c>
      <c r="C79" s="1" t="s">
        <v>73</v>
      </c>
      <c r="D79" s="1"/>
      <c r="E79" t="str">
        <f t="shared" si="12"/>
        <v>Dossier: Federführende Organisationseinheit</v>
      </c>
      <c r="F79" t="str">
        <f t="shared" si="15"/>
        <v>/paket/ablieferung/ordnungssystem/ordnungssystemposition/dossier</v>
      </c>
      <c r="G79" t="s">
        <v>282</v>
      </c>
      <c r="H79" t="s">
        <v>273</v>
      </c>
    </row>
    <row r="80" spans="1:8" x14ac:dyDescent="0.25">
      <c r="A80" t="str">
        <f t="shared" si="14"/>
        <v>/paket/ablieferung/ordnungssystem/ordnungssystemposition</v>
      </c>
      <c r="B80" s="28" t="s">
        <v>35</v>
      </c>
      <c r="C80" s="1" t="s">
        <v>62</v>
      </c>
      <c r="D80" s="1" t="s">
        <v>266</v>
      </c>
      <c r="E80" t="str">
        <f t="shared" si="12"/>
        <v>Dossier: Entstehungszeitraum von/datum</v>
      </c>
      <c r="F80" t="str">
        <f t="shared" si="15"/>
        <v>/paket/ablieferung/ordnungssystem/ordnungssystemposition/dossier</v>
      </c>
      <c r="G80" t="s">
        <v>282</v>
      </c>
      <c r="H80" t="s">
        <v>273</v>
      </c>
    </row>
    <row r="81" spans="1:8" x14ac:dyDescent="0.25">
      <c r="A81" t="str">
        <f t="shared" si="14"/>
        <v>/paket/ablieferung/ordnungssystem/ordnungssystemposition</v>
      </c>
      <c r="B81" s="28" t="s">
        <v>35</v>
      </c>
      <c r="C81" s="1" t="s">
        <v>62</v>
      </c>
      <c r="D81" s="1" t="s">
        <v>267</v>
      </c>
      <c r="E81" t="str">
        <f t="shared" si="12"/>
        <v>Dossier: Entstehungszeitraum bis/datum</v>
      </c>
      <c r="F81" t="str">
        <f t="shared" si="15"/>
        <v>/paket/ablieferung/ordnungssystem/ordnungssystemposition/dossier</v>
      </c>
      <c r="G81" t="s">
        <v>282</v>
      </c>
      <c r="H81" t="s">
        <v>273</v>
      </c>
    </row>
    <row r="82" spans="1:8" x14ac:dyDescent="0.25">
      <c r="A82" t="str">
        <f t="shared" si="14"/>
        <v>/paket/ablieferung/ordnungssystem/ordnungssystemposition</v>
      </c>
      <c r="B82" s="28" t="s">
        <v>35</v>
      </c>
      <c r="C82" s="1" t="s">
        <v>75</v>
      </c>
      <c r="D82" s="1"/>
      <c r="E82" t="str">
        <f t="shared" si="12"/>
        <v>Dossier: Datenschutz</v>
      </c>
      <c r="F82" t="str">
        <f t="shared" si="15"/>
        <v>/paket/ablieferung/ordnungssystem/ordnungssystemposition/dossier</v>
      </c>
      <c r="G82" t="s">
        <v>282</v>
      </c>
      <c r="H82" t="s">
        <v>273</v>
      </c>
    </row>
    <row r="83" spans="1:8" x14ac:dyDescent="0.25">
      <c r="A83" t="str">
        <f t="shared" si="14"/>
        <v>/paket/ablieferung/ordnungssystem/ordnungssystemposition</v>
      </c>
      <c r="B83" s="28" t="s">
        <v>35</v>
      </c>
      <c r="C83" s="1" t="s">
        <v>76</v>
      </c>
      <c r="D83" s="1"/>
      <c r="E83" t="str">
        <f t="shared" si="12"/>
        <v>Dossier: Öffentlichkeitsstatus</v>
      </c>
      <c r="F83" t="str">
        <f t="shared" si="15"/>
        <v>/paket/ablieferung/ordnungssystem/ordnungssystemposition/dossier</v>
      </c>
      <c r="G83" t="s">
        <v>282</v>
      </c>
      <c r="H83" t="s">
        <v>273</v>
      </c>
    </row>
    <row r="84" spans="1:8" x14ac:dyDescent="0.25">
      <c r="A84" t="str">
        <f t="shared" si="14"/>
        <v>/paket/ablieferung/ordnungssystem/ordnungssystemposition</v>
      </c>
      <c r="B84" s="28" t="s">
        <v>35</v>
      </c>
      <c r="C84" s="1" t="s">
        <v>77</v>
      </c>
      <c r="D84" s="1"/>
      <c r="E84" t="str">
        <f t="shared" si="12"/>
        <v>Dossier: Öffentlichkeitsstatus Begründung</v>
      </c>
      <c r="F84" t="str">
        <f t="shared" si="15"/>
        <v>/paket/ablieferung/ordnungssystem/ordnungssystemposition/dossier</v>
      </c>
      <c r="G84" t="s">
        <v>282</v>
      </c>
      <c r="H84" t="s">
        <v>273</v>
      </c>
    </row>
    <row r="85" spans="1:8" x14ac:dyDescent="0.25">
      <c r="A85" t="str">
        <f t="shared" si="14"/>
        <v>/paket/ablieferung/ordnungssystem/ordnungssystemposition</v>
      </c>
      <c r="B85" s="28" t="s">
        <v>35</v>
      </c>
      <c r="C85" s="1" t="s">
        <v>78</v>
      </c>
      <c r="D85" s="1"/>
      <c r="E85" t="str">
        <f t="shared" si="12"/>
        <v>Dossier: Sonstige Bestimmungen</v>
      </c>
      <c r="F85" t="str">
        <f t="shared" si="15"/>
        <v>/paket/ablieferung/ordnungssystem/ordnungssystemposition/dossier</v>
      </c>
      <c r="G85" t="s">
        <v>282</v>
      </c>
      <c r="H85" t="s">
        <v>273</v>
      </c>
    </row>
    <row r="86" spans="1:8" x14ac:dyDescent="0.25">
      <c r="A86" t="str">
        <f t="shared" si="14"/>
        <v>/paket/ablieferung/ordnungssystem/ordnungssystemposition</v>
      </c>
      <c r="B86" s="28" t="s">
        <v>35</v>
      </c>
      <c r="C86" s="1" t="s">
        <v>64</v>
      </c>
      <c r="D86" s="1"/>
      <c r="E86" t="str">
        <f t="shared" si="12"/>
        <v>Dossier: Bemerkung</v>
      </c>
      <c r="F86" t="str">
        <f t="shared" si="15"/>
        <v>/paket/ablieferung/ordnungssystem/ordnungssystemposition/dossier</v>
      </c>
      <c r="G86" t="s">
        <v>282</v>
      </c>
      <c r="H86" t="s">
        <v>273</v>
      </c>
    </row>
    <row r="87" spans="1:8" x14ac:dyDescent="0.25">
      <c r="A87" t="str">
        <f t="shared" si="14"/>
        <v>/paket/ablieferung/ordnungssystem/ordnungssystemposition</v>
      </c>
      <c r="B87" s="28" t="s">
        <v>35</v>
      </c>
      <c r="C87" s="1" t="s">
        <v>59</v>
      </c>
      <c r="D87" s="1"/>
      <c r="E87" t="str">
        <f t="shared" si="12"/>
        <v>Dossier: Zusatz Daten</v>
      </c>
      <c r="F87" t="str">
        <f t="shared" si="15"/>
        <v>/paket/ablieferung/ordnungssystem/ordnungssystemposition/dossier</v>
      </c>
      <c r="G87" t="s">
        <v>282</v>
      </c>
      <c r="H87" t="s">
        <v>273</v>
      </c>
    </row>
    <row r="88" spans="1:8" x14ac:dyDescent="0.25">
      <c r="A88" t="str">
        <f t="shared" si="14"/>
        <v>/paket/ablieferung/ordnungssystem/ordnungssystemposition</v>
      </c>
      <c r="B88" s="28" t="s">
        <v>35</v>
      </c>
      <c r="C88" s="1" t="s">
        <v>176</v>
      </c>
      <c r="D88" s="1"/>
      <c r="E88" t="str">
        <f t="shared" si="12"/>
        <v>Dossier: Aktenzeichen</v>
      </c>
      <c r="F88" t="str">
        <f t="shared" si="15"/>
        <v>/paket/ablieferung/ordnungssystem/ordnungssystemposition/dossier</v>
      </c>
      <c r="G88" t="s">
        <v>282</v>
      </c>
      <c r="H88" t="s">
        <v>273</v>
      </c>
    </row>
    <row r="89" spans="1:8" x14ac:dyDescent="0.25">
      <c r="A89" t="str">
        <f t="shared" si="14"/>
        <v>/paket/ablieferung/ordnungssystem/ordnungssystemposition</v>
      </c>
      <c r="B89" s="28" t="s">
        <v>35</v>
      </c>
      <c r="C89" s="1" t="s">
        <v>88</v>
      </c>
      <c r="D89" s="1" t="s">
        <v>98</v>
      </c>
      <c r="E89" t="str">
        <f t="shared" si="12"/>
        <v>Dossier: Eröffnungsdatum datum</v>
      </c>
      <c r="F89" t="str">
        <f t="shared" si="15"/>
        <v>/paket/ablieferung/ordnungssystem/ordnungssystemposition/dossier</v>
      </c>
      <c r="G89" t="s">
        <v>282</v>
      </c>
      <c r="H89" t="s">
        <v>273</v>
      </c>
    </row>
    <row r="90" spans="1:8" x14ac:dyDescent="0.25">
      <c r="A90" t="str">
        <f t="shared" si="14"/>
        <v>/paket/ablieferung/ordnungssystem/ordnungssystemposition</v>
      </c>
      <c r="B90" s="28" t="s">
        <v>35</v>
      </c>
      <c r="C90" s="1" t="s">
        <v>88</v>
      </c>
      <c r="D90" s="1" t="s">
        <v>265</v>
      </c>
      <c r="E90" t="str">
        <f t="shared" si="12"/>
        <v>Dossier: Eröffnungsdatum ca</v>
      </c>
      <c r="F90" t="str">
        <f t="shared" si="15"/>
        <v>/paket/ablieferung/ordnungssystem/ordnungssystemposition/dossier</v>
      </c>
      <c r="G90" t="s">
        <v>282</v>
      </c>
      <c r="H90" t="s">
        <v>273</v>
      </c>
    </row>
    <row r="91" spans="1:8" x14ac:dyDescent="0.25">
      <c r="A91" t="str">
        <f t="shared" si="14"/>
        <v>/paket/ablieferung/ordnungssystem/ordnungssystemposition</v>
      </c>
      <c r="B91" s="28" t="s">
        <v>35</v>
      </c>
      <c r="C91" s="1" t="s">
        <v>145</v>
      </c>
      <c r="D91" s="1" t="s">
        <v>98</v>
      </c>
      <c r="E91" t="str">
        <f t="shared" si="12"/>
        <v>Dossier: Abschlussdatum datum</v>
      </c>
      <c r="F91" t="str">
        <f t="shared" si="15"/>
        <v>/paket/ablieferung/ordnungssystem/ordnungssystemposition/dossier</v>
      </c>
      <c r="G91" t="s">
        <v>282</v>
      </c>
      <c r="H91" t="s">
        <v>273</v>
      </c>
    </row>
    <row r="92" spans="1:8" x14ac:dyDescent="0.25">
      <c r="A92" t="str">
        <f t="shared" si="14"/>
        <v>/paket/ablieferung/ordnungssystem/ordnungssystemposition</v>
      </c>
      <c r="B92" s="28" t="s">
        <v>35</v>
      </c>
      <c r="C92" s="1" t="s">
        <v>145</v>
      </c>
      <c r="D92" s="1" t="s">
        <v>265</v>
      </c>
      <c r="E92" t="str">
        <f t="shared" si="12"/>
        <v>Dossier: Abschlussdatum ca</v>
      </c>
      <c r="F92" t="str">
        <f t="shared" si="15"/>
        <v>/paket/ablieferung/ordnungssystem/ordnungssystemposition/dossier</v>
      </c>
      <c r="G92" t="s">
        <v>282</v>
      </c>
      <c r="H92" t="s">
        <v>273</v>
      </c>
    </row>
    <row r="93" spans="1:8" x14ac:dyDescent="0.25">
      <c r="A93" t="str">
        <f t="shared" si="14"/>
        <v>/paket/ablieferung/ordnungssystem/ordnungssystemposition</v>
      </c>
      <c r="B93" s="28" t="s">
        <v>35</v>
      </c>
      <c r="C93" s="1" t="s">
        <v>177</v>
      </c>
      <c r="D93" s="1"/>
      <c r="E93" t="str">
        <f t="shared" si="12"/>
        <v>Dossier: Vorgang</v>
      </c>
      <c r="F93" t="str">
        <f t="shared" si="15"/>
        <v>/paket/ablieferung/ordnungssystem/ordnungssystemposition/dossier</v>
      </c>
      <c r="G93" t="s">
        <v>282</v>
      </c>
      <c r="H93" t="s">
        <v>273</v>
      </c>
    </row>
    <row r="94" spans="1:8" x14ac:dyDescent="0.25">
      <c r="A94" t="str">
        <f t="shared" si="14"/>
        <v>/paket/ablieferung/ordnungssystem/ordnungssystemposition</v>
      </c>
      <c r="B94" s="28" t="s">
        <v>35</v>
      </c>
      <c r="C94" s="1" t="s">
        <v>169</v>
      </c>
      <c r="D94" s="1"/>
      <c r="E94" t="str">
        <f t="shared" si="12"/>
        <v>Dossier: Schutzfristenkategorie</v>
      </c>
      <c r="F94" t="str">
        <f t="shared" si="15"/>
        <v>/paket/ablieferung/ordnungssystem/ordnungssystemposition/dossier</v>
      </c>
      <c r="G94" t="s">
        <v>282</v>
      </c>
      <c r="H94" t="s">
        <v>273</v>
      </c>
    </row>
    <row r="95" spans="1:8" x14ac:dyDescent="0.25">
      <c r="A95" t="str">
        <f t="shared" si="14"/>
        <v>/paket/ablieferung/ordnungssystem/ordnungssystemposition</v>
      </c>
      <c r="B95" s="28" t="s">
        <v>35</v>
      </c>
      <c r="C95" s="1" t="s">
        <v>170</v>
      </c>
      <c r="D95" s="1"/>
      <c r="E95" t="str">
        <f t="shared" si="12"/>
        <v>Dossier: Schutzfrist</v>
      </c>
      <c r="F95" t="str">
        <f t="shared" si="15"/>
        <v>/paket/ablieferung/ordnungssystem/ordnungssystemposition/dossier</v>
      </c>
      <c r="G95" t="s">
        <v>282</v>
      </c>
      <c r="H95" t="s">
        <v>273</v>
      </c>
    </row>
    <row r="96" spans="1:8" x14ac:dyDescent="0.25">
      <c r="A96" t="str">
        <f t="shared" si="14"/>
        <v>/paket/ablieferung/ordnungssystem/ordnungssystemposition</v>
      </c>
      <c r="B96" s="28" t="s">
        <v>35</v>
      </c>
      <c r="C96" s="1" t="s">
        <v>175</v>
      </c>
      <c r="D96" s="1"/>
      <c r="E96" t="str">
        <f t="shared" si="12"/>
        <v>Dossier: Schutzfristen Begründung</v>
      </c>
      <c r="F96" t="str">
        <f t="shared" si="15"/>
        <v>/paket/ablieferung/ordnungssystem/ordnungssystemposition/dossier</v>
      </c>
      <c r="G96" t="s">
        <v>282</v>
      </c>
      <c r="H96" t="s">
        <v>273</v>
      </c>
    </row>
    <row r="97" spans="1:8" x14ac:dyDescent="0.25">
      <c r="A97" t="str">
        <f t="shared" si="14"/>
        <v>/paket/ablieferung/ordnungssystem/ordnungssystemposition</v>
      </c>
      <c r="B97" s="28" t="s">
        <v>35</v>
      </c>
      <c r="C97" s="28" t="s">
        <v>35</v>
      </c>
      <c r="D97" s="1"/>
      <c r="E97" t="str">
        <f t="shared" si="12"/>
        <v>Dossier: Dossier</v>
      </c>
      <c r="F97" t="str">
        <f t="shared" si="15"/>
        <v>/paket/ablieferung/ordnungssystem/ordnungssystemposition/dossier</v>
      </c>
      <c r="G97" t="s">
        <v>282</v>
      </c>
      <c r="H97" t="s">
        <v>271</v>
      </c>
    </row>
    <row r="98" spans="1:8" x14ac:dyDescent="0.25">
      <c r="A98" t="str">
        <f t="shared" si="14"/>
        <v>/paket/ablieferung/ordnungssystem/ordnungssystemposition</v>
      </c>
      <c r="B98" s="28" t="s">
        <v>35</v>
      </c>
      <c r="C98" s="24" t="s">
        <v>47</v>
      </c>
      <c r="D98" s="1"/>
      <c r="E98" t="str">
        <f t="shared" ref="E98:E116" si="16">PROPER(Umlaut(AddSpace(B98),1))&amp;": "&amp;PROPER(Umlaut(AddSpace(C98),1))&amp;IF(D98="",""," "&amp;D98)</f>
        <v>Dossier: Dokument</v>
      </c>
      <c r="F98" t="str">
        <f t="shared" si="15"/>
        <v>/paket/ablieferung/ordnungssystem/ordnungssystemposition/dossier</v>
      </c>
      <c r="G98" t="s">
        <v>282</v>
      </c>
      <c r="H98" t="s">
        <v>271</v>
      </c>
    </row>
    <row r="99" spans="1:8" x14ac:dyDescent="0.25">
      <c r="A99" t="str">
        <f t="shared" si="14"/>
        <v>/paket/ablieferung/ordnungssystem/ordnungssystemposition</v>
      </c>
      <c r="B99" s="28" t="s">
        <v>35</v>
      </c>
      <c r="C99" s="25" t="s">
        <v>56</v>
      </c>
      <c r="D99" s="1"/>
      <c r="E99" t="str">
        <f t="shared" si="16"/>
        <v>Dossier: Archivische Notiz</v>
      </c>
      <c r="F99" t="str">
        <f t="shared" si="15"/>
        <v>/paket/ablieferung/ordnungssystem/ordnungssystemposition/dossier</v>
      </c>
      <c r="G99" t="s">
        <v>282</v>
      </c>
      <c r="H99" t="s">
        <v>271</v>
      </c>
    </row>
    <row r="100" spans="1:8" x14ac:dyDescent="0.25">
      <c r="A100" t="str">
        <f>F74</f>
        <v>/paket/ablieferung/ordnungssystem/ordnungssystemposition/dossier</v>
      </c>
      <c r="B100" s="29" t="s">
        <v>47</v>
      </c>
      <c r="C100" s="1" t="s">
        <v>80</v>
      </c>
      <c r="D100" s="1"/>
      <c r="E100" t="str">
        <f t="shared" si="16"/>
        <v>Dokument: Titel</v>
      </c>
      <c r="F100" t="str">
        <f t="shared" si="15"/>
        <v>/paket/ablieferung/ordnungssystem/ordnungssystemposition/dossier/dokument</v>
      </c>
      <c r="G100" t="s">
        <v>283</v>
      </c>
      <c r="H100" t="s">
        <v>273</v>
      </c>
    </row>
    <row r="101" spans="1:8" x14ac:dyDescent="0.25">
      <c r="A101" t="str">
        <f t="shared" ref="A101:A104" si="17">F75</f>
        <v>/paket/ablieferung/ordnungssystem/ordnungssystemposition/dossier</v>
      </c>
      <c r="B101" s="29" t="s">
        <v>47</v>
      </c>
      <c r="C101" s="1" t="s">
        <v>89</v>
      </c>
      <c r="D101" s="1"/>
      <c r="E101" t="str">
        <f t="shared" si="16"/>
        <v>Dokument: Autor</v>
      </c>
      <c r="F101" t="str">
        <f t="shared" si="15"/>
        <v>/paket/ablieferung/ordnungssystem/ordnungssystemposition/dossier/dokument</v>
      </c>
      <c r="G101" t="s">
        <v>283</v>
      </c>
      <c r="H101" t="s">
        <v>273</v>
      </c>
    </row>
    <row r="102" spans="1:8" x14ac:dyDescent="0.25">
      <c r="A102" t="str">
        <f t="shared" si="17"/>
        <v>/paket/ablieferung/ordnungssystem/ordnungssystemposition/dossier</v>
      </c>
      <c r="B102" s="29" t="s">
        <v>47</v>
      </c>
      <c r="C102" s="1" t="s">
        <v>83</v>
      </c>
      <c r="D102" s="1"/>
      <c r="E102" t="str">
        <f t="shared" si="16"/>
        <v>Dokument: Erscheinungsform</v>
      </c>
      <c r="F102" t="str">
        <f t="shared" si="15"/>
        <v>/paket/ablieferung/ordnungssystem/ordnungssystemposition/dossier/dokument</v>
      </c>
      <c r="G102" t="s">
        <v>283</v>
      </c>
      <c r="H102" t="s">
        <v>273</v>
      </c>
    </row>
    <row r="103" spans="1:8" x14ac:dyDescent="0.25">
      <c r="A103" t="str">
        <f t="shared" si="17"/>
        <v>/paket/ablieferung/ordnungssystem/ordnungssystemposition/dossier</v>
      </c>
      <c r="B103" s="29" t="s">
        <v>47</v>
      </c>
      <c r="C103" s="1" t="s">
        <v>90</v>
      </c>
      <c r="D103" s="1"/>
      <c r="E103" t="str">
        <f t="shared" si="16"/>
        <v>Dokument: Dokumenttyp</v>
      </c>
      <c r="F103" t="str">
        <f t="shared" si="15"/>
        <v>/paket/ablieferung/ordnungssystem/ordnungssystemposition/dossier/dokument</v>
      </c>
      <c r="G103" t="s">
        <v>283</v>
      </c>
      <c r="H103" t="s">
        <v>273</v>
      </c>
    </row>
    <row r="104" spans="1:8" x14ac:dyDescent="0.25">
      <c r="A104" t="str">
        <f t="shared" si="17"/>
        <v>/paket/ablieferung/ordnungssystem/ordnungssystemposition/dossier</v>
      </c>
      <c r="B104" s="29" t="s">
        <v>47</v>
      </c>
      <c r="C104" s="1" t="s">
        <v>91</v>
      </c>
      <c r="D104" s="1" t="s">
        <v>98</v>
      </c>
      <c r="E104" t="str">
        <f t="shared" si="16"/>
        <v>Dokument: Registrierdatum datum</v>
      </c>
      <c r="F104" t="str">
        <f t="shared" si="15"/>
        <v>/paket/ablieferung/ordnungssystem/ordnungssystemposition/dossier/dokument</v>
      </c>
      <c r="G104" t="s">
        <v>283</v>
      </c>
      <c r="H104" t="s">
        <v>273</v>
      </c>
    </row>
    <row r="105" spans="1:8" x14ac:dyDescent="0.25">
      <c r="A105" t="str">
        <f t="shared" ref="A105" si="18">F79</f>
        <v>/paket/ablieferung/ordnungssystem/ordnungssystemposition/dossier</v>
      </c>
      <c r="B105" s="29" t="s">
        <v>47</v>
      </c>
      <c r="C105" s="1" t="s">
        <v>91</v>
      </c>
      <c r="D105" s="1" t="s">
        <v>265</v>
      </c>
      <c r="E105" t="str">
        <f t="shared" ref="E105:E107" si="19">PROPER(Umlaut(AddSpace(B105),1))&amp;": "&amp;PROPER(Umlaut(AddSpace(C105),1))&amp;IF(D105="",""," "&amp;D105)</f>
        <v>Dokument: Registrierdatum ca</v>
      </c>
      <c r="F105" t="str">
        <f t="shared" ref="F105:F107" si="20">A105&amp;"/"&amp;B105</f>
        <v>/paket/ablieferung/ordnungssystem/ordnungssystemposition/dossier/dokument</v>
      </c>
      <c r="G105" t="s">
        <v>283</v>
      </c>
      <c r="H105" t="s">
        <v>273</v>
      </c>
    </row>
    <row r="106" spans="1:8" x14ac:dyDescent="0.25">
      <c r="A106" t="str">
        <f t="shared" ref="A106:A107" si="21">F77</f>
        <v>/paket/ablieferung/ordnungssystem/ordnungssystemposition/dossier</v>
      </c>
      <c r="B106" s="29" t="s">
        <v>47</v>
      </c>
      <c r="C106" s="1" t="s">
        <v>62</v>
      </c>
      <c r="D106" s="1" t="s">
        <v>266</v>
      </c>
      <c r="E106" t="str">
        <f t="shared" si="19"/>
        <v>Dokument: Entstehungszeitraum von/datum</v>
      </c>
      <c r="F106" t="str">
        <f t="shared" si="20"/>
        <v>/paket/ablieferung/ordnungssystem/ordnungssystemposition/dossier/dokument</v>
      </c>
      <c r="G106" t="s">
        <v>283</v>
      </c>
      <c r="H106" t="s">
        <v>273</v>
      </c>
    </row>
    <row r="107" spans="1:8" x14ac:dyDescent="0.25">
      <c r="A107" t="str">
        <f t="shared" si="21"/>
        <v>/paket/ablieferung/ordnungssystem/ordnungssystemposition/dossier</v>
      </c>
      <c r="B107" s="29" t="s">
        <v>47</v>
      </c>
      <c r="C107" s="1" t="s">
        <v>62</v>
      </c>
      <c r="D107" s="1" t="s">
        <v>267</v>
      </c>
      <c r="E107" t="str">
        <f t="shared" si="19"/>
        <v>Dokument: Entstehungszeitraum bis/datum</v>
      </c>
      <c r="F107" t="str">
        <f t="shared" si="20"/>
        <v>/paket/ablieferung/ordnungssystem/ordnungssystemposition/dossier/dokument</v>
      </c>
      <c r="G107" t="s">
        <v>283</v>
      </c>
      <c r="H107" t="s">
        <v>273</v>
      </c>
    </row>
    <row r="108" spans="1:8" x14ac:dyDescent="0.25">
      <c r="A108" t="str">
        <f>F79</f>
        <v>/paket/ablieferung/ordnungssystem/ordnungssystemposition/dossier</v>
      </c>
      <c r="B108" s="29" t="s">
        <v>47</v>
      </c>
      <c r="C108" s="1" t="s">
        <v>62</v>
      </c>
      <c r="D108" s="1" t="s">
        <v>265</v>
      </c>
      <c r="E108" t="str">
        <f t="shared" si="16"/>
        <v>Dokument: Entstehungszeitraum ca</v>
      </c>
      <c r="F108" t="str">
        <f t="shared" si="15"/>
        <v>/paket/ablieferung/ordnungssystem/ordnungssystemposition/dossier/dokument</v>
      </c>
      <c r="G108" t="s">
        <v>283</v>
      </c>
      <c r="H108" t="s">
        <v>273</v>
      </c>
    </row>
    <row r="109" spans="1:8" x14ac:dyDescent="0.25">
      <c r="A109" t="str">
        <f>F80</f>
        <v>/paket/ablieferung/ordnungssystem/ordnungssystemposition/dossier</v>
      </c>
      <c r="B109" s="29" t="s">
        <v>47</v>
      </c>
      <c r="C109" s="1" t="s">
        <v>74</v>
      </c>
      <c r="D109" s="1"/>
      <c r="E109" t="str">
        <f t="shared" si="16"/>
        <v>Dokument: Klassifizierungskategorie</v>
      </c>
      <c r="F109" t="str">
        <f t="shared" si="15"/>
        <v>/paket/ablieferung/ordnungssystem/ordnungssystemposition/dossier/dokument</v>
      </c>
      <c r="G109" t="s">
        <v>283</v>
      </c>
      <c r="H109" t="s">
        <v>273</v>
      </c>
    </row>
    <row r="110" spans="1:8" x14ac:dyDescent="0.25">
      <c r="A110" t="str">
        <f>F81</f>
        <v>/paket/ablieferung/ordnungssystem/ordnungssystemposition/dossier</v>
      </c>
      <c r="B110" s="29" t="s">
        <v>47</v>
      </c>
      <c r="C110" s="1" t="s">
        <v>75</v>
      </c>
      <c r="D110" s="1"/>
      <c r="E110" t="str">
        <f t="shared" si="16"/>
        <v>Dokument: Datenschutz</v>
      </c>
      <c r="F110" t="str">
        <f t="shared" si="15"/>
        <v>/paket/ablieferung/ordnungssystem/ordnungssystemposition/dossier/dokument</v>
      </c>
      <c r="G110" t="s">
        <v>283</v>
      </c>
      <c r="H110" t="s">
        <v>273</v>
      </c>
    </row>
    <row r="111" spans="1:8" x14ac:dyDescent="0.25">
      <c r="A111" t="str">
        <f>F82</f>
        <v>/paket/ablieferung/ordnungssystem/ordnungssystemposition/dossier</v>
      </c>
      <c r="B111" s="29" t="s">
        <v>47</v>
      </c>
      <c r="C111" s="1" t="s">
        <v>76</v>
      </c>
      <c r="D111" s="1"/>
      <c r="E111" t="str">
        <f t="shared" si="16"/>
        <v>Dokument: Öffentlichkeitsstatus</v>
      </c>
      <c r="F111" t="str">
        <f t="shared" si="15"/>
        <v>/paket/ablieferung/ordnungssystem/ordnungssystemposition/dossier/dokument</v>
      </c>
      <c r="G111" t="s">
        <v>283</v>
      </c>
      <c r="H111" t="s">
        <v>273</v>
      </c>
    </row>
    <row r="112" spans="1:8" x14ac:dyDescent="0.25">
      <c r="A112" t="str">
        <f>F83</f>
        <v>/paket/ablieferung/ordnungssystem/ordnungssystemposition/dossier</v>
      </c>
      <c r="B112" s="29" t="s">
        <v>47</v>
      </c>
      <c r="C112" s="1" t="s">
        <v>77</v>
      </c>
      <c r="D112" s="1"/>
      <c r="E112" t="str">
        <f t="shared" si="16"/>
        <v>Dokument: Öffentlichkeitsstatus Begründung</v>
      </c>
      <c r="F112" t="str">
        <f t="shared" si="15"/>
        <v>/paket/ablieferung/ordnungssystem/ordnungssystemposition/dossier/dokument</v>
      </c>
      <c r="G112" t="s">
        <v>283</v>
      </c>
      <c r="H112" t="s">
        <v>273</v>
      </c>
    </row>
    <row r="113" spans="1:8" x14ac:dyDescent="0.25">
      <c r="A113" t="str">
        <f>F84</f>
        <v>/paket/ablieferung/ordnungssystem/ordnungssystemposition/dossier</v>
      </c>
      <c r="B113" s="29" t="s">
        <v>47</v>
      </c>
      <c r="C113" s="1" t="s">
        <v>78</v>
      </c>
      <c r="D113" s="1"/>
      <c r="E113" t="str">
        <f t="shared" si="16"/>
        <v>Dokument: Sonstige Bestimmungen</v>
      </c>
      <c r="F113" t="str">
        <f t="shared" si="15"/>
        <v>/paket/ablieferung/ordnungssystem/ordnungssystemposition/dossier/dokument</v>
      </c>
      <c r="G113" t="s">
        <v>283</v>
      </c>
      <c r="H113" t="s">
        <v>273</v>
      </c>
    </row>
    <row r="114" spans="1:8" x14ac:dyDescent="0.25">
      <c r="A114" t="str">
        <f>F85</f>
        <v>/paket/ablieferung/ordnungssystem/ordnungssystemposition/dossier</v>
      </c>
      <c r="B114" s="29" t="s">
        <v>47</v>
      </c>
      <c r="C114" s="1" t="s">
        <v>64</v>
      </c>
      <c r="D114" s="1"/>
      <c r="E114" t="str">
        <f t="shared" si="16"/>
        <v>Dokument: Bemerkung</v>
      </c>
      <c r="F114" t="str">
        <f t="shared" si="15"/>
        <v>/paket/ablieferung/ordnungssystem/ordnungssystemposition/dossier/dokument</v>
      </c>
      <c r="G114" t="s">
        <v>283</v>
      </c>
      <c r="H114" t="s">
        <v>273</v>
      </c>
    </row>
    <row r="115" spans="1:8" x14ac:dyDescent="0.25">
      <c r="A115" t="str">
        <f>F86</f>
        <v>/paket/ablieferung/ordnungssystem/ordnungssystemposition/dossier</v>
      </c>
      <c r="B115" s="29" t="s">
        <v>47</v>
      </c>
      <c r="C115" s="1" t="s">
        <v>59</v>
      </c>
      <c r="D115" s="1"/>
      <c r="E115" t="str">
        <f t="shared" si="16"/>
        <v>Dokument: Zusatz Daten</v>
      </c>
      <c r="F115" t="str">
        <f t="shared" si="15"/>
        <v>/paket/ablieferung/ordnungssystem/ordnungssystemposition/dossier/dokument</v>
      </c>
      <c r="G115" t="s">
        <v>283</v>
      </c>
      <c r="H115" t="s">
        <v>273</v>
      </c>
    </row>
    <row r="116" spans="1:8" x14ac:dyDescent="0.25">
      <c r="A116" t="str">
        <f>F87</f>
        <v>/paket/ablieferung/ordnungssystem/ordnungssystemposition/dossier</v>
      </c>
      <c r="B116" s="29" t="s">
        <v>47</v>
      </c>
      <c r="C116" s="1" t="s">
        <v>52</v>
      </c>
      <c r="D116" s="1"/>
      <c r="E116" t="str">
        <f t="shared" si="16"/>
        <v>Dokument: Datei Ref</v>
      </c>
      <c r="F116" t="str">
        <f t="shared" si="15"/>
        <v>/paket/ablieferung/ordnungssystem/ordnungssystemposition/dossier/dokument</v>
      </c>
      <c r="G116" t="s">
        <v>283</v>
      </c>
      <c r="H116" t="s">
        <v>273</v>
      </c>
    </row>
    <row r="117" spans="1:8" x14ac:dyDescent="0.25">
      <c r="A117" t="str">
        <f>F$13</f>
        <v>/paket</v>
      </c>
      <c r="B117" s="11" t="s">
        <v>55</v>
      </c>
      <c r="C117" s="1" t="s">
        <v>96</v>
      </c>
      <c r="E117" t="str">
        <f t="shared" ref="E117:E126" si="22">PROPER(Umlaut(AddSpace(B117),1))&amp;": "&amp;PROPER(Umlaut(AddSpace(C117),1))&amp;IF(D117="",""," "&amp;D117)</f>
        <v>Archivischer Vorgang: Vorgangstyp</v>
      </c>
      <c r="F117" t="str">
        <f t="shared" ref="F117:F124" si="23">A117&amp;"/"&amp;B117</f>
        <v>/paket/archivischerVorgang</v>
      </c>
      <c r="G117" t="s">
        <v>282</v>
      </c>
      <c r="H117" t="s">
        <v>273</v>
      </c>
    </row>
    <row r="118" spans="1:8" x14ac:dyDescent="0.25">
      <c r="A118" t="str">
        <f t="shared" ref="A118:A120" si="24">F$13</f>
        <v>/paket</v>
      </c>
      <c r="B118" s="11" t="s">
        <v>55</v>
      </c>
      <c r="C118" s="1" t="s">
        <v>97</v>
      </c>
      <c r="E118" t="str">
        <f t="shared" si="22"/>
        <v>Archivischer Vorgang: Beschreibung</v>
      </c>
      <c r="F118" t="str">
        <f t="shared" si="23"/>
        <v>/paket/archivischerVorgang</v>
      </c>
      <c r="G118" t="s">
        <v>282</v>
      </c>
      <c r="H118" t="s">
        <v>273</v>
      </c>
    </row>
    <row r="119" spans="1:8" x14ac:dyDescent="0.25">
      <c r="A119" t="str">
        <f t="shared" si="24"/>
        <v>/paket</v>
      </c>
      <c r="B119" s="11" t="s">
        <v>55</v>
      </c>
      <c r="C119" s="1" t="s">
        <v>98</v>
      </c>
      <c r="E119" t="str">
        <f t="shared" si="22"/>
        <v>Archivischer Vorgang: Datum</v>
      </c>
      <c r="F119" t="str">
        <f t="shared" si="23"/>
        <v>/paket/archivischerVorgang</v>
      </c>
      <c r="G119" t="s">
        <v>282</v>
      </c>
      <c r="H119" t="s">
        <v>273</v>
      </c>
    </row>
    <row r="120" spans="1:8" x14ac:dyDescent="0.25">
      <c r="A120" t="str">
        <f t="shared" si="24"/>
        <v>/paket</v>
      </c>
      <c r="B120" s="11" t="s">
        <v>55</v>
      </c>
      <c r="C120" s="1" t="s">
        <v>99</v>
      </c>
      <c r="E120" t="str">
        <f t="shared" si="22"/>
        <v>Archivischer Vorgang: Bearbeiter</v>
      </c>
      <c r="F120" t="str">
        <f t="shared" si="23"/>
        <v>/paket/archivischerVorgang</v>
      </c>
      <c r="G120" t="s">
        <v>282</v>
      </c>
      <c r="H120" t="s">
        <v>273</v>
      </c>
    </row>
    <row r="121" spans="1:8" x14ac:dyDescent="0.25">
      <c r="A121" t="str">
        <f>F$14</f>
        <v>/paket</v>
      </c>
      <c r="B121" s="12" t="s">
        <v>56</v>
      </c>
      <c r="C121" s="1" t="s">
        <v>154</v>
      </c>
      <c r="E121" t="str">
        <f t="shared" si="22"/>
        <v>Archivische Notiz: Id</v>
      </c>
      <c r="F121" t="str">
        <f t="shared" si="23"/>
        <v>/paket/archivischeNotiz</v>
      </c>
      <c r="G121" t="s">
        <v>282</v>
      </c>
      <c r="H121" t="s">
        <v>273</v>
      </c>
    </row>
    <row r="122" spans="1:8" x14ac:dyDescent="0.25">
      <c r="A122" t="str">
        <f>F$14</f>
        <v>/paket</v>
      </c>
      <c r="B122" s="12" t="s">
        <v>56</v>
      </c>
      <c r="C122" s="1" t="s">
        <v>100</v>
      </c>
      <c r="E122" t="str">
        <f t="shared" si="22"/>
        <v>Archivische Notiz: Notiz Datum</v>
      </c>
      <c r="F122" t="str">
        <f t="shared" si="23"/>
        <v>/paket/archivischeNotiz</v>
      </c>
      <c r="G122" t="s">
        <v>282</v>
      </c>
      <c r="H122" t="s">
        <v>273</v>
      </c>
    </row>
    <row r="123" spans="1:8" x14ac:dyDescent="0.25">
      <c r="A123" t="str">
        <f>F$14</f>
        <v>/paket</v>
      </c>
      <c r="B123" s="12" t="s">
        <v>56</v>
      </c>
      <c r="C123" s="1" t="s">
        <v>101</v>
      </c>
      <c r="E123" t="str">
        <f t="shared" si="22"/>
        <v>Archivische Notiz: Notiz Erfasser</v>
      </c>
      <c r="F123" t="str">
        <f t="shared" si="23"/>
        <v>/paket/archivischeNotiz</v>
      </c>
      <c r="G123" t="s">
        <v>282</v>
      </c>
      <c r="H123" t="s">
        <v>273</v>
      </c>
    </row>
    <row r="124" spans="1:8" x14ac:dyDescent="0.25">
      <c r="A124" t="str">
        <f>F$14</f>
        <v>/paket</v>
      </c>
      <c r="B124" s="12" t="s">
        <v>56</v>
      </c>
      <c r="C124" s="1" t="s">
        <v>102</v>
      </c>
      <c r="E124" t="str">
        <f t="shared" si="22"/>
        <v>Archivische Notiz: Notiz Beschreibung</v>
      </c>
      <c r="F124" t="str">
        <f t="shared" si="23"/>
        <v>/paket/archivischeNotiz</v>
      </c>
      <c r="G124" t="s">
        <v>282</v>
      </c>
      <c r="H124" t="s">
        <v>273</v>
      </c>
    </row>
    <row r="125" spans="1:8" x14ac:dyDescent="0.25">
      <c r="B125" s="16" t="s">
        <v>270</v>
      </c>
      <c r="C125" s="1" t="s">
        <v>269</v>
      </c>
      <c r="E125" t="str">
        <f t="shared" si="22"/>
        <v>File: Filenamewithoutextension</v>
      </c>
      <c r="G125" t="s">
        <v>284</v>
      </c>
      <c r="H125" t="s">
        <v>268</v>
      </c>
    </row>
    <row r="126" spans="1:8" x14ac:dyDescent="0.25">
      <c r="B126" s="16" t="s">
        <v>270</v>
      </c>
      <c r="C126" s="1" t="s">
        <v>272</v>
      </c>
      <c r="E126" t="str">
        <f t="shared" si="22"/>
        <v>File: Pathslice</v>
      </c>
      <c r="G126" t="s">
        <v>284</v>
      </c>
      <c r="H126" t="s">
        <v>273</v>
      </c>
    </row>
    <row r="127" spans="1:8" x14ac:dyDescent="0.25">
      <c r="C127"/>
    </row>
    <row r="128" spans="1:8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0"/>
  <sheetViews>
    <sheetView tabSelected="1" topLeftCell="A61" workbookViewId="0">
      <selection activeCell="C79" sqref="C79"/>
    </sheetView>
  </sheetViews>
  <sheetFormatPr baseColWidth="10" defaultRowHeight="15" x14ac:dyDescent="0.25"/>
  <cols>
    <col min="1" max="1" width="36.140625" bestFit="1" customWidth="1"/>
    <col min="2" max="2" width="23.140625" bestFit="1" customWidth="1"/>
    <col min="3" max="3" width="57.85546875" bestFit="1" customWidth="1"/>
    <col min="4" max="4" width="10.7109375" bestFit="1" customWidth="1"/>
    <col min="5" max="5" width="57.7109375" bestFit="1" customWidth="1"/>
    <col min="6" max="6" width="82.42578125" bestFit="1" customWidth="1"/>
    <col min="7" max="7" width="11.28515625" bestFit="1" customWidth="1"/>
  </cols>
  <sheetData>
    <row r="1" spans="1:7" s="3" customFormat="1" ht="15.75" x14ac:dyDescent="0.25">
      <c r="A1" s="34" t="s">
        <v>382</v>
      </c>
      <c r="B1" s="34" t="s">
        <v>383</v>
      </c>
      <c r="C1" s="34" t="s">
        <v>211</v>
      </c>
      <c r="D1" s="31"/>
      <c r="E1" s="31"/>
      <c r="F1" s="31"/>
      <c r="G1" s="31"/>
    </row>
    <row r="2" spans="1:7" ht="15.75" x14ac:dyDescent="0.25">
      <c r="A2" s="35" t="s">
        <v>152</v>
      </c>
      <c r="B2" s="35"/>
      <c r="C2" s="35" t="s">
        <v>285</v>
      </c>
      <c r="D2" s="32"/>
      <c r="E2" s="32"/>
      <c r="F2" s="32"/>
      <c r="G2" s="32"/>
    </row>
    <row r="3" spans="1:7" ht="15.75" x14ac:dyDescent="0.25">
      <c r="A3" s="35" t="s">
        <v>274</v>
      </c>
      <c r="B3" s="35"/>
      <c r="C3" s="35" t="s">
        <v>278</v>
      </c>
      <c r="D3" s="32"/>
      <c r="E3" s="32"/>
      <c r="F3" s="32"/>
      <c r="G3" s="32"/>
    </row>
    <row r="4" spans="1:7" ht="15.75" x14ac:dyDescent="0.25">
      <c r="A4" s="35" t="s">
        <v>0</v>
      </c>
      <c r="B4" s="35"/>
      <c r="C4" s="35" t="s">
        <v>286</v>
      </c>
      <c r="D4" s="32"/>
      <c r="E4" s="32"/>
      <c r="F4" s="32"/>
      <c r="G4" s="32"/>
    </row>
    <row r="5" spans="1:7" ht="15.75" x14ac:dyDescent="0.25">
      <c r="A5" s="35" t="s">
        <v>277</v>
      </c>
      <c r="B5" s="35"/>
      <c r="C5" s="35" t="s">
        <v>279</v>
      </c>
      <c r="D5" s="32"/>
      <c r="E5" s="32"/>
      <c r="F5" s="32"/>
      <c r="G5" s="32"/>
    </row>
    <row r="6" spans="1:7" ht="15.75" x14ac:dyDescent="0.25">
      <c r="A6" s="35" t="s">
        <v>276</v>
      </c>
      <c r="B6" s="35"/>
      <c r="C6" s="36" t="s">
        <v>280</v>
      </c>
      <c r="D6" s="32"/>
      <c r="E6" s="32"/>
      <c r="F6" s="32"/>
      <c r="G6" s="32"/>
    </row>
    <row r="7" spans="1:7" ht="15.75" x14ac:dyDescent="0.25">
      <c r="A7" s="35" t="s">
        <v>275</v>
      </c>
      <c r="B7" s="35"/>
      <c r="C7" s="36" t="s">
        <v>281</v>
      </c>
      <c r="D7" s="32"/>
      <c r="E7" s="32"/>
      <c r="F7" s="32"/>
      <c r="G7" s="32"/>
    </row>
    <row r="8" spans="1:7" ht="15.75" x14ac:dyDescent="0.25">
      <c r="A8" s="35" t="s">
        <v>58</v>
      </c>
      <c r="B8" s="35"/>
      <c r="C8" s="36" t="s">
        <v>287</v>
      </c>
      <c r="D8" s="32"/>
      <c r="E8" s="32"/>
      <c r="F8" s="32"/>
      <c r="G8" s="32"/>
    </row>
    <row r="9" spans="1:7" ht="15.75" x14ac:dyDescent="0.25">
      <c r="A9" s="35" t="s">
        <v>59</v>
      </c>
      <c r="B9" s="35"/>
      <c r="C9" s="36" t="s">
        <v>288</v>
      </c>
      <c r="D9" s="32"/>
      <c r="E9" s="32"/>
      <c r="F9" s="32"/>
      <c r="G9" s="32"/>
    </row>
    <row r="10" spans="1:7" ht="15.75" x14ac:dyDescent="0.25">
      <c r="A10" s="35" t="s">
        <v>164</v>
      </c>
      <c r="B10" s="36"/>
      <c r="C10" s="35" t="s">
        <v>289</v>
      </c>
      <c r="D10" s="32"/>
      <c r="E10" s="32"/>
      <c r="F10" s="32"/>
      <c r="G10" s="32"/>
    </row>
    <row r="11" spans="1:7" ht="15.75" x14ac:dyDescent="0.25">
      <c r="A11" s="35" t="s">
        <v>165</v>
      </c>
      <c r="B11" s="36"/>
      <c r="C11" s="35" t="s">
        <v>290</v>
      </c>
      <c r="D11" s="32"/>
      <c r="E11" s="32"/>
      <c r="F11" s="32"/>
      <c r="G11" s="32"/>
    </row>
    <row r="12" spans="1:7" ht="15.75" x14ac:dyDescent="0.25">
      <c r="A12" s="35" t="s">
        <v>60</v>
      </c>
      <c r="B12" s="36"/>
      <c r="C12" s="35" t="s">
        <v>291</v>
      </c>
      <c r="D12" s="32"/>
      <c r="E12" s="32"/>
      <c r="F12" s="32"/>
      <c r="G12" s="32"/>
    </row>
    <row r="13" spans="1:7" ht="15.75" x14ac:dyDescent="0.25">
      <c r="A13" s="35" t="s">
        <v>166</v>
      </c>
      <c r="B13" s="36"/>
      <c r="C13" s="35" t="s">
        <v>292</v>
      </c>
      <c r="D13" s="32"/>
      <c r="E13" s="32"/>
      <c r="F13" s="32"/>
      <c r="G13" s="32"/>
    </row>
    <row r="14" spans="1:7" ht="15.75" x14ac:dyDescent="0.25">
      <c r="A14" s="35" t="s">
        <v>61</v>
      </c>
      <c r="B14" s="36"/>
      <c r="C14" s="35" t="s">
        <v>293</v>
      </c>
      <c r="D14" s="32"/>
      <c r="E14" s="32"/>
      <c r="F14" s="32"/>
      <c r="G14" s="32"/>
    </row>
    <row r="15" spans="1:7" ht="15.75" x14ac:dyDescent="0.25">
      <c r="A15" s="35" t="s">
        <v>62</v>
      </c>
      <c r="B15" s="36" t="s">
        <v>266</v>
      </c>
      <c r="C15" s="35" t="s">
        <v>294</v>
      </c>
      <c r="D15" s="32"/>
      <c r="E15" s="32"/>
      <c r="F15" s="32"/>
      <c r="G15" s="32"/>
    </row>
    <row r="16" spans="1:7" ht="15.75" x14ac:dyDescent="0.25">
      <c r="A16" s="35" t="s">
        <v>62</v>
      </c>
      <c r="B16" s="36" t="s">
        <v>267</v>
      </c>
      <c r="C16" s="35" t="s">
        <v>295</v>
      </c>
      <c r="D16" s="32"/>
      <c r="E16" s="32"/>
      <c r="F16" s="32"/>
      <c r="G16" s="32"/>
    </row>
    <row r="17" spans="1:7" ht="15.75" x14ac:dyDescent="0.25">
      <c r="A17" s="35" t="s">
        <v>62</v>
      </c>
      <c r="B17" s="36" t="s">
        <v>265</v>
      </c>
      <c r="C17" s="35" t="s">
        <v>296</v>
      </c>
      <c r="D17" s="32"/>
      <c r="E17" s="32"/>
      <c r="F17" s="32"/>
      <c r="G17" s="32"/>
    </row>
    <row r="18" spans="1:7" ht="15.75" x14ac:dyDescent="0.25">
      <c r="A18" s="35" t="s">
        <v>167</v>
      </c>
      <c r="B18" s="36"/>
      <c r="C18" s="35" t="s">
        <v>297</v>
      </c>
      <c r="D18" s="32"/>
      <c r="E18" s="32"/>
      <c r="F18" s="32"/>
      <c r="G18" s="32"/>
    </row>
    <row r="19" spans="1:7" ht="15.75" x14ac:dyDescent="0.25">
      <c r="A19" s="35" t="s">
        <v>168</v>
      </c>
      <c r="B19" s="36"/>
      <c r="C19" s="35" t="s">
        <v>298</v>
      </c>
      <c r="D19" s="32"/>
      <c r="E19" s="32"/>
      <c r="F19" s="32"/>
      <c r="G19" s="32"/>
    </row>
    <row r="20" spans="1:7" ht="15.75" x14ac:dyDescent="0.25">
      <c r="A20" s="35" t="s">
        <v>169</v>
      </c>
      <c r="B20" s="36"/>
      <c r="C20" s="35" t="s">
        <v>299</v>
      </c>
      <c r="D20" s="32"/>
      <c r="E20" s="32"/>
      <c r="F20" s="32"/>
      <c r="G20" s="32"/>
    </row>
    <row r="21" spans="1:7" ht="15.75" x14ac:dyDescent="0.25">
      <c r="A21" s="35" t="s">
        <v>170</v>
      </c>
      <c r="B21" s="36"/>
      <c r="C21" s="35" t="s">
        <v>300</v>
      </c>
      <c r="D21" s="32"/>
      <c r="E21" s="32"/>
      <c r="F21" s="32"/>
      <c r="G21" s="32"/>
    </row>
    <row r="22" spans="1:7" ht="15.75" x14ac:dyDescent="0.25">
      <c r="A22" s="35" t="s">
        <v>63</v>
      </c>
      <c r="B22" s="36"/>
      <c r="C22" s="35" t="s">
        <v>301</v>
      </c>
      <c r="D22" s="32"/>
      <c r="E22" s="32"/>
      <c r="F22" s="32"/>
      <c r="G22" s="32"/>
    </row>
    <row r="23" spans="1:7" ht="15.75" x14ac:dyDescent="0.25">
      <c r="A23" s="35" t="s">
        <v>64</v>
      </c>
      <c r="B23" s="36"/>
      <c r="C23" s="35" t="s">
        <v>302</v>
      </c>
      <c r="D23" s="32"/>
      <c r="E23" s="32"/>
      <c r="F23" s="32"/>
      <c r="G23" s="32"/>
    </row>
    <row r="24" spans="1:7" ht="15.75" x14ac:dyDescent="0.25">
      <c r="A24" s="35" t="s">
        <v>59</v>
      </c>
      <c r="B24" s="36"/>
      <c r="C24" s="35" t="s">
        <v>303</v>
      </c>
      <c r="D24" s="32"/>
      <c r="E24" s="32"/>
      <c r="F24" s="32"/>
      <c r="G24" s="32"/>
    </row>
    <row r="25" spans="1:7" ht="15.75" x14ac:dyDescent="0.25">
      <c r="A25" s="35" t="s">
        <v>264</v>
      </c>
      <c r="B25" s="35"/>
      <c r="C25" s="35" t="s">
        <v>304</v>
      </c>
      <c r="D25" s="32"/>
      <c r="E25" s="32"/>
      <c r="F25" s="32"/>
      <c r="G25" s="32"/>
    </row>
    <row r="26" spans="1:7" ht="15.75" x14ac:dyDescent="0.25">
      <c r="A26" s="35" t="s">
        <v>66</v>
      </c>
      <c r="B26" s="35"/>
      <c r="C26" s="35" t="s">
        <v>305</v>
      </c>
      <c r="D26" s="32"/>
      <c r="E26" s="32"/>
      <c r="F26" s="32"/>
      <c r="G26" s="32"/>
    </row>
    <row r="27" spans="1:7" ht="15.75" x14ac:dyDescent="0.25">
      <c r="A27" s="35" t="s">
        <v>67</v>
      </c>
      <c r="B27" s="35"/>
      <c r="C27" s="35" t="s">
        <v>306</v>
      </c>
      <c r="D27" s="32"/>
      <c r="E27" s="32"/>
      <c r="F27" s="32"/>
      <c r="G27" s="32"/>
    </row>
    <row r="28" spans="1:7" ht="15.75" x14ac:dyDescent="0.25">
      <c r="A28" s="35" t="s">
        <v>171</v>
      </c>
      <c r="B28" s="35"/>
      <c r="C28" s="35" t="s">
        <v>307</v>
      </c>
      <c r="D28" s="32"/>
      <c r="E28" s="32"/>
      <c r="F28" s="32"/>
      <c r="G28" s="32"/>
    </row>
    <row r="29" spans="1:7" ht="15.75" x14ac:dyDescent="0.25">
      <c r="A29" s="35" t="s">
        <v>172</v>
      </c>
      <c r="B29" s="35"/>
      <c r="C29" s="35" t="s">
        <v>308</v>
      </c>
      <c r="D29" s="32"/>
      <c r="E29" s="32"/>
      <c r="F29" s="32"/>
      <c r="G29" s="32"/>
    </row>
    <row r="30" spans="1:7" ht="15.75" x14ac:dyDescent="0.25">
      <c r="A30" s="35" t="s">
        <v>173</v>
      </c>
      <c r="B30" s="35"/>
      <c r="C30" s="35" t="s">
        <v>309</v>
      </c>
      <c r="D30" s="32"/>
      <c r="E30" s="32"/>
      <c r="F30" s="32"/>
      <c r="G30" s="32"/>
    </row>
    <row r="31" spans="1:7" ht="15.75" x14ac:dyDescent="0.25">
      <c r="A31" s="35" t="s">
        <v>68</v>
      </c>
      <c r="B31" s="35" t="s">
        <v>266</v>
      </c>
      <c r="C31" s="35" t="s">
        <v>310</v>
      </c>
      <c r="D31" s="32"/>
      <c r="E31" s="32"/>
      <c r="F31" s="32"/>
      <c r="G31" s="32"/>
    </row>
    <row r="32" spans="1:7" ht="15.75" x14ac:dyDescent="0.25">
      <c r="A32" s="35" t="s">
        <v>68</v>
      </c>
      <c r="B32" s="35" t="s">
        <v>267</v>
      </c>
      <c r="C32" s="35" t="s">
        <v>311</v>
      </c>
      <c r="D32" s="32"/>
      <c r="E32" s="32"/>
      <c r="F32" s="32"/>
      <c r="G32" s="32"/>
    </row>
    <row r="33" spans="1:7" ht="15.75" x14ac:dyDescent="0.25">
      <c r="A33" s="35" t="s">
        <v>68</v>
      </c>
      <c r="B33" s="35" t="s">
        <v>265</v>
      </c>
      <c r="C33" s="35" t="s">
        <v>312</v>
      </c>
      <c r="D33" s="32"/>
      <c r="E33" s="32"/>
      <c r="F33" s="32"/>
      <c r="G33" s="32"/>
    </row>
    <row r="34" spans="1:7" ht="15.75" x14ac:dyDescent="0.25">
      <c r="A34" s="35" t="s">
        <v>69</v>
      </c>
      <c r="B34" s="35"/>
      <c r="C34" s="35" t="s">
        <v>313</v>
      </c>
      <c r="D34" s="32"/>
      <c r="E34" s="32"/>
      <c r="F34" s="32"/>
      <c r="G34" s="32"/>
    </row>
    <row r="35" spans="1:7" ht="15.75" x14ac:dyDescent="0.25">
      <c r="A35" s="35" t="s">
        <v>64</v>
      </c>
      <c r="B35" s="35"/>
      <c r="C35" s="35" t="s">
        <v>314</v>
      </c>
      <c r="D35" s="32"/>
      <c r="E35" s="32"/>
      <c r="F35" s="32"/>
      <c r="G35" s="32"/>
    </row>
    <row r="36" spans="1:7" ht="15.75" x14ac:dyDescent="0.25">
      <c r="A36" s="35" t="s">
        <v>1</v>
      </c>
      <c r="B36" s="35"/>
      <c r="C36" s="35" t="s">
        <v>315</v>
      </c>
      <c r="D36" s="32"/>
      <c r="E36" s="32"/>
      <c r="F36" s="32"/>
      <c r="G36" s="32"/>
    </row>
    <row r="37" spans="1:7" ht="15.75" x14ac:dyDescent="0.25">
      <c r="A37" s="35" t="s">
        <v>70</v>
      </c>
      <c r="B37" s="35"/>
      <c r="C37" s="35" t="s">
        <v>316</v>
      </c>
      <c r="D37" s="32"/>
      <c r="E37" s="32"/>
      <c r="F37" s="32"/>
      <c r="G37" s="32"/>
    </row>
    <row r="38" spans="1:7" ht="15.75" x14ac:dyDescent="0.25">
      <c r="A38" s="35" t="s">
        <v>71</v>
      </c>
      <c r="B38" s="35" t="s">
        <v>266</v>
      </c>
      <c r="C38" s="35" t="s">
        <v>317</v>
      </c>
      <c r="D38" s="32"/>
      <c r="E38" s="32"/>
      <c r="F38" s="32"/>
      <c r="G38" s="32"/>
    </row>
    <row r="39" spans="1:7" ht="15.75" x14ac:dyDescent="0.25">
      <c r="A39" s="35" t="s">
        <v>71</v>
      </c>
      <c r="B39" s="35" t="s">
        <v>267</v>
      </c>
      <c r="C39" s="35" t="s">
        <v>318</v>
      </c>
      <c r="D39" s="32"/>
      <c r="E39" s="32"/>
      <c r="F39" s="32"/>
      <c r="G39" s="32"/>
    </row>
    <row r="40" spans="1:7" ht="15.75" x14ac:dyDescent="0.25">
      <c r="A40" s="35" t="s">
        <v>71</v>
      </c>
      <c r="B40" s="35" t="s">
        <v>265</v>
      </c>
      <c r="C40" s="35" t="s">
        <v>319</v>
      </c>
      <c r="D40" s="32"/>
      <c r="E40" s="32"/>
      <c r="F40" s="32"/>
      <c r="G40" s="32"/>
    </row>
    <row r="41" spans="1:7" ht="15.75" x14ac:dyDescent="0.25">
      <c r="A41" s="35" t="s">
        <v>72</v>
      </c>
      <c r="B41" s="35"/>
      <c r="C41" s="35" t="s">
        <v>320</v>
      </c>
      <c r="D41" s="32"/>
      <c r="E41" s="32"/>
      <c r="F41" s="32"/>
      <c r="G41" s="32"/>
    </row>
    <row r="42" spans="1:7" ht="15.75" x14ac:dyDescent="0.25">
      <c r="A42" s="35" t="s">
        <v>64</v>
      </c>
      <c r="B42" s="35"/>
      <c r="C42" s="35" t="s">
        <v>321</v>
      </c>
      <c r="D42" s="32"/>
      <c r="E42" s="32"/>
      <c r="F42" s="32"/>
      <c r="G42" s="32"/>
    </row>
    <row r="43" spans="1:7" ht="15.75" x14ac:dyDescent="0.25">
      <c r="A43" s="35" t="s">
        <v>59</v>
      </c>
      <c r="B43" s="35"/>
      <c r="C43" s="35" t="s">
        <v>322</v>
      </c>
      <c r="D43" s="32"/>
      <c r="E43" s="32"/>
      <c r="F43" s="32"/>
      <c r="G43" s="32"/>
    </row>
    <row r="44" spans="1:7" ht="15.75" x14ac:dyDescent="0.25">
      <c r="A44" s="35" t="s">
        <v>154</v>
      </c>
      <c r="B44" s="35"/>
      <c r="C44" s="35" t="s">
        <v>323</v>
      </c>
      <c r="D44" s="32"/>
      <c r="E44" s="32"/>
      <c r="F44" s="32"/>
      <c r="G44" s="32"/>
    </row>
    <row r="45" spans="1:7" ht="15.75" x14ac:dyDescent="0.25">
      <c r="A45" s="35" t="s">
        <v>153</v>
      </c>
      <c r="B45" s="35"/>
      <c r="C45" s="35" t="s">
        <v>324</v>
      </c>
      <c r="D45" s="32"/>
      <c r="E45" s="32"/>
      <c r="F45" s="32"/>
      <c r="G45" s="32"/>
    </row>
    <row r="46" spans="1:7" ht="15.75" x14ac:dyDescent="0.25">
      <c r="A46" s="35" t="s">
        <v>174</v>
      </c>
      <c r="B46" s="35"/>
      <c r="C46" s="35" t="s">
        <v>325</v>
      </c>
      <c r="D46" s="32"/>
      <c r="E46" s="32"/>
      <c r="F46" s="32"/>
      <c r="G46" s="32"/>
    </row>
    <row r="47" spans="1:7" ht="15.75" x14ac:dyDescent="0.25">
      <c r="A47" s="35" t="s">
        <v>80</v>
      </c>
      <c r="B47" s="35"/>
      <c r="C47" s="35" t="s">
        <v>326</v>
      </c>
      <c r="D47" s="32"/>
      <c r="E47" s="32"/>
      <c r="F47" s="32"/>
      <c r="G47" s="32"/>
    </row>
    <row r="48" spans="1:7" ht="15.75" x14ac:dyDescent="0.25">
      <c r="A48" s="35" t="s">
        <v>73</v>
      </c>
      <c r="B48" s="35"/>
      <c r="C48" s="35" t="s">
        <v>327</v>
      </c>
      <c r="D48" s="32"/>
      <c r="E48" s="32"/>
      <c r="F48" s="32"/>
      <c r="G48" s="32"/>
    </row>
    <row r="49" spans="1:7" ht="15.75" x14ac:dyDescent="0.25">
      <c r="A49" s="35" t="s">
        <v>169</v>
      </c>
      <c r="B49" s="35"/>
      <c r="C49" s="35" t="s">
        <v>328</v>
      </c>
      <c r="D49" s="32"/>
      <c r="E49" s="32"/>
      <c r="F49" s="32"/>
      <c r="G49" s="32"/>
    </row>
    <row r="50" spans="1:7" ht="15.75" x14ac:dyDescent="0.25">
      <c r="A50" s="35" t="s">
        <v>170</v>
      </c>
      <c r="B50" s="35"/>
      <c r="C50" s="35" t="s">
        <v>329</v>
      </c>
      <c r="D50" s="32"/>
      <c r="E50" s="32"/>
      <c r="F50" s="32"/>
      <c r="G50" s="32"/>
    </row>
    <row r="51" spans="1:7" ht="15.75" x14ac:dyDescent="0.25">
      <c r="A51" s="35" t="s">
        <v>175</v>
      </c>
      <c r="B51" s="35"/>
      <c r="C51" s="35" t="s">
        <v>330</v>
      </c>
      <c r="D51" s="32"/>
      <c r="E51" s="32"/>
      <c r="F51" s="32"/>
      <c r="G51" s="32"/>
    </row>
    <row r="52" spans="1:7" ht="15.75" x14ac:dyDescent="0.25">
      <c r="A52" s="35" t="s">
        <v>74</v>
      </c>
      <c r="B52" s="35"/>
      <c r="C52" s="35" t="s">
        <v>331</v>
      </c>
      <c r="D52" s="32"/>
      <c r="E52" s="32"/>
      <c r="F52" s="32"/>
      <c r="G52" s="32"/>
    </row>
    <row r="53" spans="1:7" ht="15.75" x14ac:dyDescent="0.25">
      <c r="A53" s="35" t="s">
        <v>75</v>
      </c>
      <c r="B53" s="35"/>
      <c r="C53" s="35" t="s">
        <v>332</v>
      </c>
      <c r="D53" s="32"/>
      <c r="E53" s="32"/>
      <c r="F53" s="32"/>
      <c r="G53" s="32"/>
    </row>
    <row r="54" spans="1:7" ht="15.75" x14ac:dyDescent="0.25">
      <c r="A54" s="35" t="s">
        <v>76</v>
      </c>
      <c r="B54" s="35"/>
      <c r="C54" s="35" t="s">
        <v>333</v>
      </c>
      <c r="D54" s="32"/>
      <c r="E54" s="32"/>
      <c r="F54" s="32"/>
      <c r="G54" s="32"/>
    </row>
    <row r="55" spans="1:7" ht="15.75" x14ac:dyDescent="0.25">
      <c r="A55" s="35" t="s">
        <v>77</v>
      </c>
      <c r="B55" s="35"/>
      <c r="C55" s="35" t="s">
        <v>334</v>
      </c>
      <c r="D55" s="32"/>
      <c r="E55" s="32"/>
      <c r="F55" s="32"/>
      <c r="G55" s="32"/>
    </row>
    <row r="56" spans="1:7" ht="15.75" x14ac:dyDescent="0.25">
      <c r="A56" s="35" t="s">
        <v>78</v>
      </c>
      <c r="B56" s="35"/>
      <c r="C56" s="35" t="s">
        <v>335</v>
      </c>
      <c r="D56" s="32"/>
      <c r="E56" s="32"/>
      <c r="F56" s="32"/>
      <c r="G56" s="32"/>
    </row>
    <row r="57" spans="1:7" ht="15.75" x14ac:dyDescent="0.25">
      <c r="A57" s="35" t="s">
        <v>59</v>
      </c>
      <c r="B57" s="35"/>
      <c r="C57" s="35" t="s">
        <v>336</v>
      </c>
      <c r="D57" s="32"/>
      <c r="E57" s="32"/>
      <c r="F57" s="32"/>
      <c r="G57" s="32"/>
    </row>
    <row r="58" spans="1:7" ht="15.75" x14ac:dyDescent="0.25">
      <c r="A58" s="35" t="s">
        <v>79</v>
      </c>
      <c r="B58" s="35"/>
      <c r="C58" s="35" t="s">
        <v>337</v>
      </c>
      <c r="D58" s="32"/>
      <c r="E58" s="32"/>
      <c r="F58" s="32"/>
      <c r="G58" s="32"/>
    </row>
    <row r="59" spans="1:7" ht="15.75" x14ac:dyDescent="0.25">
      <c r="A59" s="35" t="s">
        <v>80</v>
      </c>
      <c r="B59" s="35"/>
      <c r="C59" s="35" t="s">
        <v>338</v>
      </c>
      <c r="D59" s="32"/>
      <c r="E59" s="32"/>
      <c r="F59" s="32"/>
      <c r="G59" s="32"/>
    </row>
    <row r="60" spans="1:7" ht="15.75" x14ac:dyDescent="0.25">
      <c r="A60" s="35" t="s">
        <v>81</v>
      </c>
      <c r="B60" s="35"/>
      <c r="C60" s="35" t="s">
        <v>339</v>
      </c>
      <c r="D60" s="32"/>
      <c r="E60" s="32"/>
      <c r="F60" s="32"/>
      <c r="G60" s="32"/>
    </row>
    <row r="61" spans="1:7" ht="15.75" x14ac:dyDescent="0.25">
      <c r="A61" s="35" t="s">
        <v>82</v>
      </c>
      <c r="B61" s="35"/>
      <c r="C61" s="35" t="s">
        <v>340</v>
      </c>
      <c r="D61" s="32"/>
      <c r="E61" s="32"/>
      <c r="F61" s="32"/>
      <c r="G61" s="32"/>
    </row>
    <row r="62" spans="1:7" ht="15.75" x14ac:dyDescent="0.25">
      <c r="A62" s="35" t="s">
        <v>83</v>
      </c>
      <c r="B62" s="35"/>
      <c r="C62" s="35" t="s">
        <v>341</v>
      </c>
      <c r="D62" s="32"/>
      <c r="E62" s="32"/>
      <c r="F62" s="32"/>
      <c r="G62" s="32"/>
    </row>
    <row r="63" spans="1:7" ht="15.75" x14ac:dyDescent="0.25">
      <c r="A63" s="35" t="s">
        <v>73</v>
      </c>
      <c r="B63" s="35"/>
      <c r="C63" s="35" t="s">
        <v>342</v>
      </c>
      <c r="D63" s="32"/>
      <c r="E63" s="32"/>
      <c r="F63" s="32"/>
      <c r="G63" s="32"/>
    </row>
    <row r="64" spans="1:7" ht="15.75" x14ac:dyDescent="0.25">
      <c r="A64" s="35" t="s">
        <v>62</v>
      </c>
      <c r="B64" s="35" t="s">
        <v>266</v>
      </c>
      <c r="C64" s="35" t="s">
        <v>343</v>
      </c>
      <c r="D64" s="32"/>
      <c r="E64" s="32"/>
      <c r="F64" s="32"/>
      <c r="G64" s="32"/>
    </row>
    <row r="65" spans="1:7" ht="15.75" x14ac:dyDescent="0.25">
      <c r="A65" s="35" t="s">
        <v>62</v>
      </c>
      <c r="B65" s="35" t="s">
        <v>267</v>
      </c>
      <c r="C65" s="35" t="s">
        <v>344</v>
      </c>
      <c r="D65" s="32"/>
      <c r="E65" s="32"/>
      <c r="F65" s="32"/>
      <c r="G65" s="32"/>
    </row>
    <row r="66" spans="1:7" ht="15.75" x14ac:dyDescent="0.25">
      <c r="A66" s="35" t="s">
        <v>62</v>
      </c>
      <c r="B66" s="35" t="s">
        <v>265</v>
      </c>
      <c r="C66" s="35" t="s">
        <v>384</v>
      </c>
      <c r="D66" s="32"/>
      <c r="E66" s="32"/>
      <c r="F66" s="32"/>
      <c r="G66" s="32"/>
    </row>
    <row r="67" spans="1:7" ht="15.75" x14ac:dyDescent="0.25">
      <c r="A67" s="35" t="s">
        <v>75</v>
      </c>
      <c r="B67" s="35"/>
      <c r="C67" s="35" t="s">
        <v>345</v>
      </c>
      <c r="D67" s="32"/>
      <c r="E67" s="32"/>
      <c r="F67" s="32"/>
      <c r="G67" s="32"/>
    </row>
    <row r="68" spans="1:7" ht="15.75" x14ac:dyDescent="0.25">
      <c r="A68" s="35" t="s">
        <v>76</v>
      </c>
      <c r="B68" s="35"/>
      <c r="C68" s="35" t="s">
        <v>346</v>
      </c>
      <c r="D68" s="32"/>
      <c r="E68" s="32"/>
      <c r="F68" s="32"/>
      <c r="G68" s="32"/>
    </row>
    <row r="69" spans="1:7" ht="15.75" x14ac:dyDescent="0.25">
      <c r="A69" s="35" t="s">
        <v>77</v>
      </c>
      <c r="B69" s="35"/>
      <c r="C69" s="35" t="s">
        <v>347</v>
      </c>
      <c r="D69" s="32"/>
      <c r="E69" s="32"/>
      <c r="F69" s="32"/>
      <c r="G69" s="32"/>
    </row>
    <row r="70" spans="1:7" ht="15.75" x14ac:dyDescent="0.25">
      <c r="A70" s="35" t="s">
        <v>78</v>
      </c>
      <c r="B70" s="35"/>
      <c r="C70" s="35" t="s">
        <v>348</v>
      </c>
      <c r="D70" s="32"/>
      <c r="E70" s="32"/>
      <c r="F70" s="32"/>
      <c r="G70" s="32"/>
    </row>
    <row r="71" spans="1:7" ht="15.75" x14ac:dyDescent="0.25">
      <c r="A71" s="35" t="s">
        <v>64</v>
      </c>
      <c r="B71" s="35"/>
      <c r="C71" s="35" t="s">
        <v>349</v>
      </c>
      <c r="D71" s="32"/>
      <c r="E71" s="32"/>
      <c r="F71" s="32"/>
      <c r="G71" s="32"/>
    </row>
    <row r="72" spans="1:7" ht="15.75" x14ac:dyDescent="0.25">
      <c r="A72" s="35" t="s">
        <v>59</v>
      </c>
      <c r="B72" s="35"/>
      <c r="C72" s="35" t="s">
        <v>350</v>
      </c>
      <c r="D72" s="32"/>
      <c r="E72" s="32"/>
      <c r="F72" s="32"/>
      <c r="G72" s="32"/>
    </row>
    <row r="73" spans="1:7" ht="15.75" x14ac:dyDescent="0.25">
      <c r="A73" s="35" t="s">
        <v>176</v>
      </c>
      <c r="B73" s="35"/>
      <c r="C73" s="35" t="s">
        <v>351</v>
      </c>
      <c r="D73" s="32"/>
      <c r="E73" s="32"/>
      <c r="F73" s="32"/>
      <c r="G73" s="32"/>
    </row>
    <row r="74" spans="1:7" ht="15.75" x14ac:dyDescent="0.25">
      <c r="A74" s="35" t="s">
        <v>88</v>
      </c>
      <c r="B74" s="35"/>
      <c r="C74" s="35" t="s">
        <v>352</v>
      </c>
      <c r="D74" s="32"/>
      <c r="E74" s="32"/>
      <c r="F74" s="32"/>
      <c r="G74" s="32"/>
    </row>
    <row r="75" spans="1:7" ht="15.75" x14ac:dyDescent="0.25">
      <c r="A75" s="35" t="s">
        <v>145</v>
      </c>
      <c r="B75" s="35"/>
      <c r="C75" s="35" t="s">
        <v>353</v>
      </c>
      <c r="D75" s="32"/>
      <c r="E75" s="32"/>
      <c r="F75" s="32"/>
      <c r="G75" s="32"/>
    </row>
    <row r="76" spans="1:7" ht="15.75" x14ac:dyDescent="0.25">
      <c r="A76" s="35" t="s">
        <v>177</v>
      </c>
      <c r="B76" s="35"/>
      <c r="C76" s="35" t="s">
        <v>354</v>
      </c>
      <c r="D76" s="32"/>
      <c r="E76" s="32"/>
      <c r="F76" s="32"/>
      <c r="G76" s="32"/>
    </row>
    <row r="77" spans="1:7" ht="15.75" x14ac:dyDescent="0.25">
      <c r="A77" s="35" t="s">
        <v>169</v>
      </c>
      <c r="B77" s="35"/>
      <c r="C77" s="35" t="s">
        <v>355</v>
      </c>
      <c r="D77" s="32"/>
      <c r="E77" s="32"/>
      <c r="F77" s="32"/>
      <c r="G77" s="32"/>
    </row>
    <row r="78" spans="1:7" ht="15.75" x14ac:dyDescent="0.25">
      <c r="A78" s="35" t="s">
        <v>170</v>
      </c>
      <c r="B78" s="35"/>
      <c r="C78" s="35" t="s">
        <v>356</v>
      </c>
      <c r="D78" s="32"/>
      <c r="E78" s="32"/>
      <c r="F78" s="32"/>
      <c r="G78" s="32"/>
    </row>
    <row r="79" spans="1:7" ht="15.75" x14ac:dyDescent="0.25">
      <c r="A79" s="35" t="s">
        <v>175</v>
      </c>
      <c r="B79" s="35"/>
      <c r="C79" s="35" t="s">
        <v>357</v>
      </c>
      <c r="D79" s="32"/>
      <c r="E79" s="32"/>
      <c r="F79" s="32"/>
      <c r="G79" s="32"/>
    </row>
    <row r="80" spans="1:7" ht="15.75" x14ac:dyDescent="0.25">
      <c r="A80" s="35" t="s">
        <v>80</v>
      </c>
      <c r="B80" s="35"/>
      <c r="C80" s="35" t="s">
        <v>358</v>
      </c>
      <c r="D80" s="32"/>
      <c r="E80" s="32"/>
      <c r="F80" s="32"/>
      <c r="G80" s="32"/>
    </row>
    <row r="81" spans="1:7" ht="15.75" x14ac:dyDescent="0.25">
      <c r="A81" s="35" t="s">
        <v>89</v>
      </c>
      <c r="B81" s="35"/>
      <c r="C81" s="35" t="s">
        <v>359</v>
      </c>
      <c r="D81" s="32"/>
      <c r="E81" s="32"/>
      <c r="F81" s="32"/>
      <c r="G81" s="32"/>
    </row>
    <row r="82" spans="1:7" ht="15.75" x14ac:dyDescent="0.25">
      <c r="A82" s="35" t="s">
        <v>83</v>
      </c>
      <c r="B82" s="35"/>
      <c r="C82" s="35" t="s">
        <v>360</v>
      </c>
      <c r="D82" s="32"/>
      <c r="E82" s="32"/>
      <c r="F82" s="32"/>
      <c r="G82" s="32"/>
    </row>
    <row r="83" spans="1:7" ht="15.75" x14ac:dyDescent="0.25">
      <c r="A83" s="35" t="s">
        <v>90</v>
      </c>
      <c r="B83" s="35"/>
      <c r="C83" s="35" t="s">
        <v>361</v>
      </c>
      <c r="D83" s="32"/>
      <c r="E83" s="32"/>
      <c r="F83" s="32"/>
      <c r="G83" s="32"/>
    </row>
    <row r="84" spans="1:7" ht="15.75" x14ac:dyDescent="0.25">
      <c r="A84" s="35" t="s">
        <v>91</v>
      </c>
      <c r="B84" s="35" t="s">
        <v>98</v>
      </c>
      <c r="C84" s="35" t="s">
        <v>362</v>
      </c>
      <c r="D84" s="32"/>
      <c r="E84" s="32"/>
      <c r="F84" s="32"/>
      <c r="G84" s="32"/>
    </row>
    <row r="85" spans="1:7" ht="15.75" x14ac:dyDescent="0.25">
      <c r="A85" s="35" t="s">
        <v>91</v>
      </c>
      <c r="B85" s="35" t="s">
        <v>265</v>
      </c>
      <c r="C85" s="35" t="s">
        <v>385</v>
      </c>
      <c r="D85" s="32"/>
      <c r="E85" s="32"/>
      <c r="F85" s="32"/>
      <c r="G85" s="32"/>
    </row>
    <row r="86" spans="1:7" ht="15.75" x14ac:dyDescent="0.25">
      <c r="A86" s="35" t="s">
        <v>62</v>
      </c>
      <c r="B86" s="35"/>
      <c r="C86" s="35" t="s">
        <v>363</v>
      </c>
      <c r="D86" s="32"/>
      <c r="E86" s="32"/>
      <c r="F86" s="32"/>
      <c r="G86" s="32"/>
    </row>
    <row r="87" spans="1:7" ht="15.75" x14ac:dyDescent="0.25">
      <c r="A87" s="35" t="s">
        <v>74</v>
      </c>
      <c r="B87" s="35"/>
      <c r="C87" s="35" t="s">
        <v>364</v>
      </c>
      <c r="D87" s="32"/>
      <c r="E87" s="32"/>
      <c r="F87" s="32"/>
      <c r="G87" s="32"/>
    </row>
    <row r="88" spans="1:7" ht="15.75" x14ac:dyDescent="0.25">
      <c r="A88" s="35" t="s">
        <v>75</v>
      </c>
      <c r="B88" s="35"/>
      <c r="C88" s="35" t="s">
        <v>365</v>
      </c>
      <c r="D88" s="32"/>
      <c r="E88" s="32"/>
      <c r="F88" s="32"/>
      <c r="G88" s="32"/>
    </row>
    <row r="89" spans="1:7" ht="15.75" x14ac:dyDescent="0.25">
      <c r="A89" s="35" t="s">
        <v>76</v>
      </c>
      <c r="B89" s="35"/>
      <c r="C89" s="35" t="s">
        <v>366</v>
      </c>
      <c r="D89" s="32"/>
      <c r="E89" s="32"/>
      <c r="F89" s="32"/>
      <c r="G89" s="32"/>
    </row>
    <row r="90" spans="1:7" ht="15.75" x14ac:dyDescent="0.25">
      <c r="A90" s="35" t="s">
        <v>77</v>
      </c>
      <c r="B90" s="35"/>
      <c r="C90" s="35" t="s">
        <v>367</v>
      </c>
      <c r="D90" s="32"/>
      <c r="E90" s="32"/>
      <c r="F90" s="32"/>
      <c r="G90" s="32"/>
    </row>
    <row r="91" spans="1:7" ht="15.75" x14ac:dyDescent="0.25">
      <c r="A91" s="35" t="s">
        <v>78</v>
      </c>
      <c r="B91" s="35"/>
      <c r="C91" s="35" t="s">
        <v>368</v>
      </c>
      <c r="D91" s="32"/>
      <c r="E91" s="32"/>
      <c r="F91" s="32"/>
      <c r="G91" s="32"/>
    </row>
    <row r="92" spans="1:7" ht="15.75" x14ac:dyDescent="0.25">
      <c r="A92" s="35" t="s">
        <v>64</v>
      </c>
      <c r="B92" s="35"/>
      <c r="C92" s="35" t="s">
        <v>369</v>
      </c>
      <c r="D92" s="32"/>
      <c r="E92" s="32"/>
      <c r="F92" s="32"/>
      <c r="G92" s="32"/>
    </row>
    <row r="93" spans="1:7" ht="15.75" x14ac:dyDescent="0.25">
      <c r="A93" s="35" t="s">
        <v>59</v>
      </c>
      <c r="B93" s="35"/>
      <c r="C93" s="35" t="s">
        <v>370</v>
      </c>
      <c r="D93" s="32"/>
      <c r="E93" s="32"/>
      <c r="F93" s="32"/>
      <c r="G93" s="32"/>
    </row>
    <row r="94" spans="1:7" ht="15.75" x14ac:dyDescent="0.25">
      <c r="A94" s="35" t="s">
        <v>52</v>
      </c>
      <c r="B94" s="35"/>
      <c r="C94" s="35" t="s">
        <v>371</v>
      </c>
      <c r="D94" s="32"/>
      <c r="E94" s="32"/>
      <c r="F94" s="32"/>
      <c r="G94" s="32"/>
    </row>
    <row r="95" spans="1:7" ht="15.75" x14ac:dyDescent="0.25">
      <c r="A95" s="35" t="s">
        <v>96</v>
      </c>
      <c r="B95" s="35"/>
      <c r="C95" s="35" t="s">
        <v>372</v>
      </c>
      <c r="D95" s="32"/>
      <c r="E95" s="32"/>
      <c r="F95" s="32"/>
      <c r="G95" s="32"/>
    </row>
    <row r="96" spans="1:7" ht="15.75" x14ac:dyDescent="0.25">
      <c r="A96" s="35" t="s">
        <v>97</v>
      </c>
      <c r="B96" s="35"/>
      <c r="C96" s="35" t="s">
        <v>373</v>
      </c>
      <c r="D96" s="32"/>
      <c r="E96" s="32"/>
      <c r="F96" s="32"/>
      <c r="G96" s="32"/>
    </row>
    <row r="97" spans="1:7" ht="15.75" x14ac:dyDescent="0.25">
      <c r="A97" s="35" t="s">
        <v>98</v>
      </c>
      <c r="B97" s="35"/>
      <c r="C97" s="35" t="s">
        <v>374</v>
      </c>
      <c r="D97" s="32"/>
      <c r="E97" s="32"/>
      <c r="F97" s="32"/>
      <c r="G97" s="32"/>
    </row>
    <row r="98" spans="1:7" ht="15.75" x14ac:dyDescent="0.25">
      <c r="A98" s="35" t="s">
        <v>99</v>
      </c>
      <c r="B98" s="35"/>
      <c r="C98" s="35" t="s">
        <v>375</v>
      </c>
      <c r="D98" s="32"/>
      <c r="E98" s="32"/>
      <c r="F98" s="32"/>
      <c r="G98" s="32"/>
    </row>
    <row r="99" spans="1:7" ht="15.75" x14ac:dyDescent="0.25">
      <c r="A99" s="35" t="s">
        <v>154</v>
      </c>
      <c r="B99" s="35"/>
      <c r="C99" s="35" t="s">
        <v>376</v>
      </c>
      <c r="D99" s="32"/>
      <c r="E99" s="32"/>
      <c r="F99" s="32"/>
      <c r="G99" s="32"/>
    </row>
    <row r="100" spans="1:7" ht="15.75" x14ac:dyDescent="0.25">
      <c r="A100" s="35" t="s">
        <v>100</v>
      </c>
      <c r="B100" s="35"/>
      <c r="C100" s="35" t="s">
        <v>377</v>
      </c>
      <c r="D100" s="32"/>
      <c r="E100" s="32"/>
      <c r="F100" s="32"/>
      <c r="G100" s="32"/>
    </row>
    <row r="101" spans="1:7" ht="15.75" x14ac:dyDescent="0.25">
      <c r="A101" s="35" t="s">
        <v>101</v>
      </c>
      <c r="B101" s="35"/>
      <c r="C101" s="35" t="s">
        <v>378</v>
      </c>
      <c r="D101" s="32"/>
      <c r="E101" s="32"/>
      <c r="F101" s="32"/>
      <c r="G101" s="32"/>
    </row>
    <row r="102" spans="1:7" ht="15.75" x14ac:dyDescent="0.25">
      <c r="A102" s="35" t="s">
        <v>102</v>
      </c>
      <c r="B102" s="35"/>
      <c r="C102" s="35" t="s">
        <v>379</v>
      </c>
      <c r="D102" s="32"/>
      <c r="E102" s="32"/>
      <c r="F102" s="32"/>
      <c r="G102" s="32"/>
    </row>
    <row r="103" spans="1:7" ht="15.75" x14ac:dyDescent="0.25">
      <c r="A103" s="35" t="s">
        <v>269</v>
      </c>
      <c r="B103" s="35"/>
      <c r="C103" s="35" t="s">
        <v>380</v>
      </c>
      <c r="D103" s="32"/>
      <c r="E103" s="32"/>
      <c r="F103" s="32"/>
      <c r="G103" s="32"/>
    </row>
    <row r="104" spans="1:7" ht="15.75" x14ac:dyDescent="0.25">
      <c r="A104" s="35" t="s">
        <v>272</v>
      </c>
      <c r="B104" s="35"/>
      <c r="C104" s="35" t="s">
        <v>381</v>
      </c>
      <c r="D104" s="32"/>
      <c r="E104" s="32"/>
      <c r="F104" s="32"/>
      <c r="G104" s="32"/>
    </row>
    <row r="105" spans="1:7" x14ac:dyDescent="0.25">
      <c r="A105" s="32"/>
      <c r="B105" s="32"/>
      <c r="C105" s="32"/>
      <c r="D105" s="32"/>
      <c r="E105" s="32"/>
      <c r="F105" s="32"/>
      <c r="G105" s="32"/>
    </row>
    <row r="106" spans="1:7" x14ac:dyDescent="0.25">
      <c r="A106" s="32"/>
      <c r="B106" s="32"/>
      <c r="C106" s="32"/>
      <c r="D106" s="32"/>
      <c r="E106" s="32"/>
      <c r="F106" s="32"/>
      <c r="G106" s="32"/>
    </row>
    <row r="107" spans="1:7" x14ac:dyDescent="0.25">
      <c r="A107" s="32"/>
      <c r="B107" s="32"/>
      <c r="C107" s="32"/>
      <c r="D107" s="32"/>
      <c r="E107" s="32"/>
      <c r="F107" s="32"/>
      <c r="G107" s="32"/>
    </row>
    <row r="108" spans="1:7" x14ac:dyDescent="0.25">
      <c r="A108" s="32"/>
      <c r="B108" s="32"/>
      <c r="C108" s="32"/>
      <c r="D108" s="32"/>
      <c r="E108" s="32"/>
      <c r="F108" s="32"/>
      <c r="G108" s="32"/>
    </row>
    <row r="109" spans="1:7" x14ac:dyDescent="0.25">
      <c r="A109" s="32"/>
      <c r="B109" s="32"/>
      <c r="C109" s="32"/>
      <c r="D109" s="32"/>
      <c r="E109" s="32"/>
      <c r="F109" s="32"/>
      <c r="G109" s="32"/>
    </row>
    <row r="110" spans="1:7" x14ac:dyDescent="0.25">
      <c r="A110" s="32"/>
      <c r="B110" s="32"/>
      <c r="C110" s="32"/>
      <c r="D110" s="32"/>
      <c r="E110" s="32"/>
      <c r="F110" s="32"/>
      <c r="G110" s="32"/>
    </row>
    <row r="111" spans="1:7" x14ac:dyDescent="0.25">
      <c r="A111" s="32"/>
      <c r="B111" s="32"/>
      <c r="C111" s="32"/>
      <c r="D111" s="32"/>
      <c r="E111" s="32"/>
      <c r="F111" s="32"/>
      <c r="G111" s="32"/>
    </row>
    <row r="112" spans="1:7" x14ac:dyDescent="0.25">
      <c r="A112" s="32"/>
      <c r="B112" s="32"/>
      <c r="C112" s="32"/>
      <c r="D112" s="32"/>
      <c r="E112" s="32"/>
      <c r="F112" s="32"/>
      <c r="G112" s="32"/>
    </row>
    <row r="113" spans="1:7" x14ac:dyDescent="0.25">
      <c r="A113" s="32"/>
      <c r="B113" s="32"/>
      <c r="C113" s="32"/>
      <c r="D113" s="32"/>
      <c r="E113" s="32"/>
      <c r="F113" s="32"/>
      <c r="G113" s="32"/>
    </row>
    <row r="114" spans="1:7" x14ac:dyDescent="0.25">
      <c r="A114" s="32"/>
      <c r="B114" s="32"/>
      <c r="C114" s="32"/>
      <c r="D114" s="32"/>
      <c r="E114" s="32"/>
      <c r="F114" s="32"/>
      <c r="G114" s="32"/>
    </row>
    <row r="115" spans="1:7" x14ac:dyDescent="0.25">
      <c r="A115" s="32"/>
      <c r="B115" s="32"/>
      <c r="C115" s="32"/>
      <c r="D115" s="32"/>
      <c r="E115" s="32"/>
      <c r="F115" s="32"/>
      <c r="G115" s="32"/>
    </row>
    <row r="116" spans="1:7" x14ac:dyDescent="0.25">
      <c r="A116" s="32"/>
      <c r="B116" s="32"/>
      <c r="C116" s="32"/>
      <c r="D116" s="32"/>
      <c r="E116" s="32"/>
      <c r="F116" s="32"/>
      <c r="G116" s="32"/>
    </row>
    <row r="117" spans="1:7" x14ac:dyDescent="0.25">
      <c r="A117" s="32"/>
      <c r="B117" s="32"/>
      <c r="C117" s="32"/>
      <c r="D117" s="32"/>
      <c r="E117" s="32"/>
      <c r="F117" s="32"/>
      <c r="G117" s="32"/>
    </row>
    <row r="118" spans="1:7" x14ac:dyDescent="0.25">
      <c r="A118" s="32"/>
      <c r="B118" s="32"/>
      <c r="C118" s="32"/>
      <c r="D118" s="32"/>
      <c r="E118" s="32"/>
      <c r="F118" s="32"/>
      <c r="G118" s="32"/>
    </row>
    <row r="119" spans="1:7" x14ac:dyDescent="0.25">
      <c r="A119" s="32"/>
      <c r="B119" s="32"/>
      <c r="C119" s="32"/>
      <c r="D119" s="32"/>
      <c r="E119" s="32"/>
      <c r="F119" s="32"/>
      <c r="G119" s="32"/>
    </row>
    <row r="120" spans="1:7" x14ac:dyDescent="0.25">
      <c r="A120" s="32"/>
      <c r="B120" s="32"/>
      <c r="C120" s="32"/>
      <c r="D120" s="32"/>
      <c r="E120" s="32"/>
      <c r="F120" s="32"/>
      <c r="G120" s="32"/>
    </row>
    <row r="121" spans="1:7" x14ac:dyDescent="0.25">
      <c r="A121" s="32"/>
      <c r="B121" s="32"/>
      <c r="C121" s="32"/>
      <c r="D121" s="32"/>
      <c r="E121" s="32"/>
      <c r="F121" s="32"/>
      <c r="G121" s="32"/>
    </row>
    <row r="122" spans="1:7" x14ac:dyDescent="0.25">
      <c r="A122" s="32"/>
      <c r="B122" s="32"/>
      <c r="C122" s="32"/>
      <c r="D122" s="32"/>
      <c r="E122" s="32"/>
      <c r="F122" s="32"/>
      <c r="G122" s="32"/>
    </row>
    <row r="123" spans="1:7" x14ac:dyDescent="0.25">
      <c r="A123" s="32"/>
      <c r="B123" s="32"/>
      <c r="C123" s="32"/>
      <c r="D123" s="32"/>
      <c r="E123" s="32"/>
      <c r="F123" s="32"/>
      <c r="G123" s="32"/>
    </row>
    <row r="124" spans="1:7" x14ac:dyDescent="0.25">
      <c r="A124" s="32"/>
      <c r="B124" s="32"/>
      <c r="C124" s="32"/>
      <c r="D124" s="32"/>
      <c r="E124" s="32"/>
      <c r="F124" s="32"/>
      <c r="G124" s="32"/>
    </row>
    <row r="125" spans="1:7" x14ac:dyDescent="0.25">
      <c r="A125" s="32"/>
      <c r="B125" s="32"/>
      <c r="C125" s="32"/>
      <c r="D125" s="32"/>
      <c r="E125" s="32"/>
      <c r="F125" s="32"/>
      <c r="G125" s="32"/>
    </row>
    <row r="126" spans="1:7" x14ac:dyDescent="0.25">
      <c r="A126" s="32"/>
      <c r="B126" s="32"/>
      <c r="C126" s="32"/>
      <c r="D126" s="32"/>
      <c r="E126" s="32"/>
      <c r="F126" s="32"/>
      <c r="G126" s="32"/>
    </row>
    <row r="127" spans="1:7" x14ac:dyDescent="0.25">
      <c r="A127" s="32"/>
      <c r="B127" s="32"/>
      <c r="C127" s="32"/>
      <c r="D127" s="32"/>
      <c r="E127" s="32"/>
      <c r="F127" s="32"/>
      <c r="G127" s="32"/>
    </row>
    <row r="128" spans="1:7" x14ac:dyDescent="0.25">
      <c r="A128" s="32"/>
      <c r="B128" s="32"/>
      <c r="C128" s="32"/>
      <c r="D128" s="32"/>
      <c r="E128" s="32"/>
      <c r="F128" s="32"/>
      <c r="G128" s="32"/>
    </row>
    <row r="129" spans="1:7" x14ac:dyDescent="0.25">
      <c r="A129" s="32"/>
      <c r="B129" s="32"/>
      <c r="C129" s="32"/>
      <c r="D129" s="32"/>
      <c r="E129" s="32"/>
      <c r="F129" s="32"/>
      <c r="G129" s="32"/>
    </row>
    <row r="130" spans="1:7" x14ac:dyDescent="0.25">
      <c r="A130" s="32"/>
      <c r="B130" s="32"/>
      <c r="C130" s="32"/>
      <c r="D130" s="32"/>
      <c r="E130" s="32"/>
      <c r="F130" s="32"/>
      <c r="G130" s="32"/>
    </row>
    <row r="131" spans="1:7" x14ac:dyDescent="0.25">
      <c r="A131" s="32"/>
      <c r="B131" s="32"/>
      <c r="C131" s="32"/>
      <c r="D131" s="32"/>
      <c r="E131" s="32"/>
      <c r="F131" s="32"/>
      <c r="G131" s="32"/>
    </row>
    <row r="132" spans="1:7" x14ac:dyDescent="0.25">
      <c r="A132" s="32"/>
      <c r="B132" s="32"/>
      <c r="C132" s="32"/>
      <c r="D132" s="32"/>
      <c r="E132" s="32"/>
      <c r="F132" s="32"/>
      <c r="G132" s="32"/>
    </row>
    <row r="133" spans="1:7" x14ac:dyDescent="0.25">
      <c r="A133" s="32"/>
      <c r="B133" s="32"/>
      <c r="C133" s="32"/>
      <c r="D133" s="32"/>
      <c r="E133" s="32"/>
      <c r="F133" s="32"/>
      <c r="G133" s="32"/>
    </row>
    <row r="134" spans="1:7" x14ac:dyDescent="0.25">
      <c r="A134" s="32"/>
      <c r="B134" s="32"/>
      <c r="C134" s="32"/>
      <c r="D134" s="32"/>
      <c r="E134" s="32"/>
      <c r="F134" s="32"/>
      <c r="G134" s="32"/>
    </row>
    <row r="135" spans="1:7" x14ac:dyDescent="0.25">
      <c r="A135" s="32"/>
      <c r="B135" s="32"/>
      <c r="C135" s="32"/>
      <c r="D135" s="32"/>
      <c r="E135" s="32"/>
      <c r="F135" s="32"/>
      <c r="G135" s="32"/>
    </row>
    <row r="136" spans="1:7" x14ac:dyDescent="0.25">
      <c r="A136" s="32"/>
      <c r="B136" s="32"/>
      <c r="C136" s="32"/>
      <c r="D136" s="32"/>
      <c r="E136" s="32"/>
      <c r="F136" s="32"/>
      <c r="G136" s="32"/>
    </row>
    <row r="137" spans="1:7" x14ac:dyDescent="0.25">
      <c r="A137" s="32"/>
      <c r="B137" s="32"/>
      <c r="C137" s="32"/>
      <c r="D137" s="32"/>
      <c r="E137" s="32"/>
      <c r="F137" s="32"/>
      <c r="G137" s="32"/>
    </row>
    <row r="138" spans="1:7" x14ac:dyDescent="0.25">
      <c r="A138" s="32"/>
      <c r="B138" s="32"/>
      <c r="C138" s="32"/>
      <c r="D138" s="32"/>
      <c r="E138" s="32"/>
      <c r="F138" s="32"/>
      <c r="G138" s="32"/>
    </row>
    <row r="139" spans="1:7" x14ac:dyDescent="0.25">
      <c r="A139" s="32"/>
      <c r="B139" s="32"/>
      <c r="C139" s="32"/>
      <c r="D139" s="32"/>
      <c r="E139" s="32"/>
      <c r="F139" s="32"/>
      <c r="G139" s="32"/>
    </row>
    <row r="140" spans="1:7" x14ac:dyDescent="0.25">
      <c r="A140" s="32"/>
      <c r="B140" s="32"/>
      <c r="C140" s="32"/>
      <c r="D140" s="32"/>
      <c r="E140" s="32"/>
      <c r="F140" s="32"/>
      <c r="G140" s="32"/>
    </row>
    <row r="141" spans="1:7" x14ac:dyDescent="0.25">
      <c r="A141" s="32"/>
      <c r="B141" s="32"/>
      <c r="C141" s="32"/>
      <c r="D141" s="32"/>
      <c r="E141" s="32"/>
      <c r="F141" s="32"/>
      <c r="G141" s="32"/>
    </row>
    <row r="142" spans="1:7" x14ac:dyDescent="0.25">
      <c r="A142" s="32"/>
      <c r="B142" s="32"/>
      <c r="C142" s="32"/>
      <c r="D142" s="32"/>
      <c r="E142" s="32"/>
      <c r="F142" s="32"/>
      <c r="G142" s="32"/>
    </row>
    <row r="143" spans="1:7" x14ac:dyDescent="0.25">
      <c r="A143" s="32"/>
      <c r="B143" s="32"/>
      <c r="C143" s="32"/>
      <c r="D143" s="32"/>
      <c r="E143" s="32"/>
      <c r="F143" s="32"/>
      <c r="G143" s="32"/>
    </row>
    <row r="144" spans="1:7" x14ac:dyDescent="0.25">
      <c r="A144" s="32"/>
      <c r="B144" s="32"/>
      <c r="C144" s="32"/>
      <c r="D144" s="32"/>
      <c r="E144" s="32"/>
      <c r="F144" s="32"/>
      <c r="G144" s="32"/>
    </row>
    <row r="145" spans="1:7" x14ac:dyDescent="0.25">
      <c r="A145" s="32"/>
      <c r="B145" s="32"/>
      <c r="C145" s="32"/>
      <c r="D145" s="32"/>
      <c r="E145" s="32"/>
      <c r="F145" s="32"/>
      <c r="G145" s="32"/>
    </row>
    <row r="146" spans="1:7" x14ac:dyDescent="0.25">
      <c r="A146" s="32"/>
      <c r="B146" s="32"/>
      <c r="C146" s="32"/>
      <c r="D146" s="32"/>
      <c r="E146" s="32"/>
      <c r="F146" s="32"/>
      <c r="G146" s="32"/>
    </row>
    <row r="147" spans="1:7" x14ac:dyDescent="0.25">
      <c r="A147" s="32"/>
      <c r="B147" s="32"/>
      <c r="C147" s="32"/>
      <c r="D147" s="32"/>
      <c r="E147" s="32"/>
      <c r="F147" s="32"/>
      <c r="G147" s="32"/>
    </row>
    <row r="148" spans="1:7" x14ac:dyDescent="0.25">
      <c r="A148" s="32"/>
      <c r="B148" s="32"/>
      <c r="C148" s="32"/>
      <c r="D148" s="32"/>
      <c r="E148" s="32"/>
      <c r="F148" s="32"/>
      <c r="G148" s="32"/>
    </row>
    <row r="149" spans="1:7" x14ac:dyDescent="0.25">
      <c r="A149" s="32"/>
      <c r="B149" s="32"/>
      <c r="C149" s="32"/>
      <c r="D149" s="32"/>
      <c r="E149" s="32"/>
      <c r="F149" s="32"/>
      <c r="G149" s="32"/>
    </row>
    <row r="150" spans="1:7" x14ac:dyDescent="0.25">
      <c r="A150" s="32"/>
      <c r="B150" s="32"/>
      <c r="C150" s="32"/>
      <c r="D150" s="32"/>
      <c r="E150" s="32"/>
      <c r="F150" s="32"/>
      <c r="G150" s="32"/>
    </row>
    <row r="151" spans="1:7" x14ac:dyDescent="0.25">
      <c r="A151" s="32"/>
      <c r="B151" s="32"/>
      <c r="C151" s="32"/>
      <c r="D151" s="32"/>
      <c r="E151" s="32"/>
      <c r="F151" s="32"/>
      <c r="G151" s="32"/>
    </row>
    <row r="152" spans="1:7" x14ac:dyDescent="0.25">
      <c r="A152" s="32"/>
      <c r="B152" s="32"/>
      <c r="C152" s="32"/>
      <c r="D152" s="32"/>
      <c r="E152" s="32"/>
      <c r="F152" s="32"/>
      <c r="G152" s="32"/>
    </row>
    <row r="153" spans="1:7" x14ac:dyDescent="0.25">
      <c r="A153" s="32"/>
      <c r="B153" s="32"/>
      <c r="C153" s="32"/>
      <c r="D153" s="32"/>
      <c r="E153" s="32"/>
      <c r="F153" s="32"/>
      <c r="G153" s="32"/>
    </row>
    <row r="154" spans="1:7" x14ac:dyDescent="0.25">
      <c r="A154" s="32"/>
      <c r="B154" s="32"/>
      <c r="C154" s="32"/>
      <c r="D154" s="32"/>
      <c r="E154" s="32"/>
      <c r="F154" s="32"/>
      <c r="G154" s="32"/>
    </row>
    <row r="155" spans="1:7" x14ac:dyDescent="0.25">
      <c r="A155" s="32"/>
      <c r="B155" s="32"/>
      <c r="C155" s="32"/>
      <c r="D155" s="32"/>
      <c r="E155" s="32"/>
      <c r="F155" s="32"/>
      <c r="G155" s="32"/>
    </row>
    <row r="156" spans="1:7" x14ac:dyDescent="0.25">
      <c r="A156" s="32"/>
      <c r="B156" s="32"/>
      <c r="C156" s="32"/>
      <c r="D156" s="32"/>
      <c r="E156" s="32"/>
      <c r="F156" s="32"/>
      <c r="G156" s="32"/>
    </row>
    <row r="157" spans="1:7" x14ac:dyDescent="0.25">
      <c r="A157" s="32"/>
      <c r="B157" s="32"/>
      <c r="C157" s="32"/>
      <c r="D157" s="32"/>
      <c r="E157" s="32"/>
      <c r="F157" s="32"/>
      <c r="G157" s="32"/>
    </row>
    <row r="158" spans="1:7" x14ac:dyDescent="0.25">
      <c r="A158" s="32"/>
      <c r="B158" s="32"/>
      <c r="C158" s="32"/>
      <c r="D158" s="32"/>
      <c r="E158" s="32"/>
      <c r="F158" s="32"/>
      <c r="G158" s="32"/>
    </row>
    <row r="159" spans="1:7" x14ac:dyDescent="0.25">
      <c r="A159" s="32"/>
      <c r="B159" s="32"/>
      <c r="C159" s="32"/>
      <c r="D159" s="32"/>
      <c r="E159" s="32"/>
      <c r="F159" s="32"/>
      <c r="G159" s="32"/>
    </row>
    <row r="160" spans="1:7" x14ac:dyDescent="0.25">
      <c r="A160" s="32"/>
      <c r="B160" s="32"/>
      <c r="C160" s="32"/>
      <c r="D160" s="32"/>
      <c r="E160" s="32"/>
      <c r="F160" s="32"/>
      <c r="G160" s="32"/>
    </row>
    <row r="161" spans="1:7" x14ac:dyDescent="0.25">
      <c r="A161" s="32"/>
      <c r="B161" s="32"/>
      <c r="C161" s="32"/>
      <c r="D161" s="32"/>
      <c r="E161" s="32"/>
      <c r="F161" s="32"/>
      <c r="G161" s="32"/>
    </row>
    <row r="162" spans="1:7" x14ac:dyDescent="0.25">
      <c r="A162" s="32"/>
      <c r="B162" s="32"/>
      <c r="C162" s="32"/>
      <c r="D162" s="32"/>
      <c r="E162" s="32"/>
      <c r="F162" s="32"/>
      <c r="G162" s="32"/>
    </row>
    <row r="163" spans="1:7" x14ac:dyDescent="0.25">
      <c r="A163" s="32"/>
      <c r="B163" s="32"/>
      <c r="C163" s="32"/>
      <c r="D163" s="32"/>
      <c r="E163" s="32"/>
      <c r="F163" s="32"/>
      <c r="G163" s="32"/>
    </row>
    <row r="164" spans="1:7" x14ac:dyDescent="0.25">
      <c r="A164" s="32"/>
      <c r="B164" s="32"/>
      <c r="C164" s="32"/>
      <c r="D164" s="32"/>
      <c r="E164" s="32"/>
      <c r="F164" s="32"/>
      <c r="G164" s="32"/>
    </row>
    <row r="165" spans="1:7" x14ac:dyDescent="0.25">
      <c r="A165" s="32"/>
      <c r="B165" s="32"/>
      <c r="C165" s="32"/>
      <c r="D165" s="32"/>
      <c r="E165" s="32"/>
      <c r="F165" s="32"/>
      <c r="G165" s="32"/>
    </row>
    <row r="166" spans="1:7" x14ac:dyDescent="0.25">
      <c r="A166" s="32"/>
      <c r="B166" s="32"/>
      <c r="C166" s="32"/>
      <c r="D166" s="32"/>
      <c r="E166" s="32"/>
      <c r="F166" s="32"/>
      <c r="G166" s="32"/>
    </row>
    <row r="167" spans="1:7" x14ac:dyDescent="0.25">
      <c r="A167" s="32"/>
      <c r="B167" s="32"/>
      <c r="C167" s="32"/>
      <c r="D167" s="32"/>
      <c r="E167" s="32"/>
      <c r="F167" s="32"/>
      <c r="G167" s="32"/>
    </row>
    <row r="168" spans="1:7" x14ac:dyDescent="0.25">
      <c r="A168" s="32"/>
      <c r="B168" s="32"/>
      <c r="C168" s="32"/>
      <c r="D168" s="32"/>
      <c r="E168" s="32"/>
      <c r="F168" s="32"/>
      <c r="G168" s="32"/>
    </row>
    <row r="169" spans="1:7" x14ac:dyDescent="0.25">
      <c r="A169" s="32"/>
      <c r="B169" s="32"/>
      <c r="C169" s="32"/>
      <c r="D169" s="32"/>
      <c r="E169" s="32"/>
      <c r="F169" s="32"/>
      <c r="G169" s="32"/>
    </row>
    <row r="170" spans="1:7" x14ac:dyDescent="0.25">
      <c r="A170" s="32"/>
      <c r="B170" s="32"/>
      <c r="C170" s="32"/>
      <c r="D170" s="32"/>
      <c r="E170" s="32"/>
      <c r="F170" s="32"/>
      <c r="G170" s="32"/>
    </row>
    <row r="171" spans="1:7" x14ac:dyDescent="0.25">
      <c r="A171" s="32"/>
      <c r="B171" s="32"/>
      <c r="C171" s="32"/>
      <c r="D171" s="32"/>
      <c r="E171" s="32"/>
      <c r="F171" s="32"/>
      <c r="G171" s="32"/>
    </row>
    <row r="172" spans="1:7" x14ac:dyDescent="0.25">
      <c r="A172" s="32"/>
      <c r="B172" s="32"/>
      <c r="C172" s="32"/>
      <c r="D172" s="32"/>
      <c r="E172" s="32"/>
      <c r="F172" s="32"/>
      <c r="G172" s="32"/>
    </row>
    <row r="173" spans="1:7" x14ac:dyDescent="0.25">
      <c r="A173" s="32"/>
      <c r="B173" s="33"/>
      <c r="C173" s="32"/>
      <c r="D173" s="32"/>
      <c r="E173" s="32"/>
      <c r="F173" s="32"/>
      <c r="G173" s="32"/>
    </row>
    <row r="174" spans="1:7" x14ac:dyDescent="0.25">
      <c r="A174" s="32"/>
      <c r="B174" s="33"/>
      <c r="C174" s="32"/>
      <c r="D174" s="32"/>
      <c r="E174" s="32"/>
      <c r="F174" s="32"/>
      <c r="G174" s="32"/>
    </row>
    <row r="175" spans="1:7" x14ac:dyDescent="0.25">
      <c r="A175" s="32"/>
      <c r="B175" s="33"/>
      <c r="C175" s="32"/>
      <c r="D175" s="32"/>
      <c r="E175" s="32"/>
      <c r="F175" s="32"/>
      <c r="G175" s="32"/>
    </row>
    <row r="176" spans="1:7" x14ac:dyDescent="0.25">
      <c r="A176" s="32"/>
      <c r="B176" s="33"/>
      <c r="C176" s="32"/>
      <c r="D176" s="32"/>
      <c r="E176" s="32"/>
      <c r="F176" s="32"/>
      <c r="G176" s="32"/>
    </row>
    <row r="177" spans="1:7" x14ac:dyDescent="0.25">
      <c r="A177" s="32"/>
      <c r="B177" s="33"/>
      <c r="C177" s="32"/>
      <c r="D177" s="32"/>
      <c r="E177" s="32"/>
      <c r="F177" s="32"/>
      <c r="G177" s="32"/>
    </row>
    <row r="178" spans="1:7" x14ac:dyDescent="0.25">
      <c r="A178" s="32"/>
      <c r="B178" s="33"/>
      <c r="C178" s="32"/>
      <c r="D178" s="32"/>
      <c r="E178" s="32"/>
      <c r="F178" s="32"/>
      <c r="G178" s="32"/>
    </row>
    <row r="179" spans="1:7" x14ac:dyDescent="0.25">
      <c r="A179" s="32"/>
      <c r="B179" s="33"/>
      <c r="C179" s="32"/>
      <c r="D179" s="32"/>
      <c r="E179" s="32"/>
      <c r="F179" s="32"/>
      <c r="G179" s="32"/>
    </row>
    <row r="180" spans="1:7" x14ac:dyDescent="0.25">
      <c r="A180" s="32"/>
      <c r="B180" s="33"/>
      <c r="C180" s="32"/>
      <c r="D180" s="32"/>
      <c r="E180" s="32"/>
      <c r="F180" s="32"/>
      <c r="G180" s="32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topLeftCell="A4" workbookViewId="0">
      <selection activeCell="B44" sqref="B44"/>
    </sheetView>
  </sheetViews>
  <sheetFormatPr baseColWidth="10" defaultColWidth="11.42578125" defaultRowHeight="15.75" x14ac:dyDescent="0.25"/>
  <cols>
    <col min="1" max="1" width="6" style="9" customWidth="1"/>
    <col min="2" max="2" width="44" style="5" bestFit="1" customWidth="1"/>
    <col min="3" max="16384" width="11.42578125" style="5"/>
  </cols>
  <sheetData>
    <row r="1" spans="1:2" x14ac:dyDescent="0.25">
      <c r="A1" s="30" t="s">
        <v>227</v>
      </c>
      <c r="B1" s="30"/>
    </row>
    <row r="2" spans="1:2" x14ac:dyDescent="0.25">
      <c r="A2" s="6" t="s">
        <v>228</v>
      </c>
      <c r="B2" s="7" t="s">
        <v>229</v>
      </c>
    </row>
    <row r="3" spans="1:2" x14ac:dyDescent="0.25">
      <c r="A3" s="6" t="s">
        <v>228</v>
      </c>
      <c r="B3" s="8" t="s">
        <v>230</v>
      </c>
    </row>
    <row r="4" spans="1:2" x14ac:dyDescent="0.25">
      <c r="A4" s="6" t="s">
        <v>228</v>
      </c>
      <c r="B4" s="8" t="s">
        <v>231</v>
      </c>
    </row>
    <row r="5" spans="1:2" x14ac:dyDescent="0.25">
      <c r="A5" s="6" t="s">
        <v>228</v>
      </c>
      <c r="B5" s="8" t="s">
        <v>232</v>
      </c>
    </row>
    <row r="6" spans="1:2" x14ac:dyDescent="0.25">
      <c r="A6" s="6" t="s">
        <v>228</v>
      </c>
      <c r="B6" s="7" t="s">
        <v>233</v>
      </c>
    </row>
    <row r="7" spans="1:2" x14ac:dyDescent="0.25">
      <c r="A7" s="6" t="s">
        <v>228</v>
      </c>
      <c r="B7" s="8" t="s">
        <v>234</v>
      </c>
    </row>
    <row r="8" spans="1:2" x14ac:dyDescent="0.25">
      <c r="A8" s="6" t="s">
        <v>228</v>
      </c>
      <c r="B8" s="8" t="s">
        <v>235</v>
      </c>
    </row>
    <row r="9" spans="1:2" x14ac:dyDescent="0.25">
      <c r="A9" s="6" t="s">
        <v>228</v>
      </c>
      <c r="B9" s="7" t="s">
        <v>236</v>
      </c>
    </row>
    <row r="10" spans="1:2" x14ac:dyDescent="0.25">
      <c r="A10" s="6" t="s">
        <v>228</v>
      </c>
      <c r="B10" s="7" t="s">
        <v>237</v>
      </c>
    </row>
    <row r="11" spans="1:2" x14ac:dyDescent="0.25">
      <c r="A11" s="6" t="s">
        <v>228</v>
      </c>
      <c r="B11" s="8" t="s">
        <v>238</v>
      </c>
    </row>
    <row r="12" spans="1:2" x14ac:dyDescent="0.25">
      <c r="A12" s="6" t="s">
        <v>228</v>
      </c>
      <c r="B12" s="8" t="s">
        <v>239</v>
      </c>
    </row>
    <row r="13" spans="1:2" x14ac:dyDescent="0.25">
      <c r="A13" s="6" t="s">
        <v>228</v>
      </c>
      <c r="B13" s="8" t="s">
        <v>222</v>
      </c>
    </row>
    <row r="14" spans="1:2" x14ac:dyDescent="0.25">
      <c r="A14" s="6" t="s">
        <v>228</v>
      </c>
      <c r="B14" s="8" t="s">
        <v>240</v>
      </c>
    </row>
    <row r="15" spans="1:2" x14ac:dyDescent="0.25">
      <c r="A15" s="6" t="s">
        <v>228</v>
      </c>
      <c r="B15" s="8" t="s">
        <v>241</v>
      </c>
    </row>
    <row r="16" spans="1:2" x14ac:dyDescent="0.25">
      <c r="A16" s="6" t="s">
        <v>228</v>
      </c>
      <c r="B16" s="8" t="s">
        <v>242</v>
      </c>
    </row>
    <row r="17" spans="1:2" x14ac:dyDescent="0.25">
      <c r="A17" s="6" t="s">
        <v>228</v>
      </c>
      <c r="B17" s="7" t="s">
        <v>243</v>
      </c>
    </row>
    <row r="18" spans="1:2" x14ac:dyDescent="0.25">
      <c r="A18" s="6" t="s">
        <v>228</v>
      </c>
      <c r="B18" s="8" t="s">
        <v>244</v>
      </c>
    </row>
    <row r="19" spans="1:2" x14ac:dyDescent="0.25">
      <c r="A19" s="6" t="s">
        <v>228</v>
      </c>
      <c r="B19" s="8" t="s">
        <v>245</v>
      </c>
    </row>
    <row r="20" spans="1:2" x14ac:dyDescent="0.25">
      <c r="A20" s="6" t="s">
        <v>228</v>
      </c>
      <c r="B20" s="7" t="s">
        <v>246</v>
      </c>
    </row>
    <row r="21" spans="1:2" x14ac:dyDescent="0.25">
      <c r="A21" s="6" t="s">
        <v>228</v>
      </c>
      <c r="B21" s="7" t="s">
        <v>247</v>
      </c>
    </row>
    <row r="22" spans="1:2" x14ac:dyDescent="0.25">
      <c r="A22" s="6" t="s">
        <v>228</v>
      </c>
      <c r="B22" s="8" t="s">
        <v>248</v>
      </c>
    </row>
    <row r="23" spans="1:2" x14ac:dyDescent="0.25">
      <c r="A23" s="6" t="s">
        <v>249</v>
      </c>
      <c r="B23" s="7" t="s">
        <v>229</v>
      </c>
    </row>
    <row r="24" spans="1:2" x14ac:dyDescent="0.25">
      <c r="A24" s="6" t="s">
        <v>249</v>
      </c>
      <c r="B24" s="7" t="s">
        <v>233</v>
      </c>
    </row>
    <row r="25" spans="1:2" x14ac:dyDescent="0.25">
      <c r="A25" s="6" t="s">
        <v>249</v>
      </c>
      <c r="B25" s="8" t="s">
        <v>250</v>
      </c>
    </row>
    <row r="26" spans="1:2" x14ac:dyDescent="0.25">
      <c r="A26" s="6" t="s">
        <v>249</v>
      </c>
      <c r="B26" s="8" t="s">
        <v>251</v>
      </c>
    </row>
    <row r="27" spans="1:2" x14ac:dyDescent="0.25">
      <c r="A27" s="6" t="s">
        <v>249</v>
      </c>
      <c r="B27" s="7" t="s">
        <v>236</v>
      </c>
    </row>
    <row r="28" spans="1:2" x14ac:dyDescent="0.25">
      <c r="A28" s="6" t="s">
        <v>249</v>
      </c>
      <c r="B28" s="7" t="s">
        <v>237</v>
      </c>
    </row>
    <row r="29" spans="1:2" x14ac:dyDescent="0.25">
      <c r="A29" s="6" t="s">
        <v>249</v>
      </c>
      <c r="B29" s="8" t="s">
        <v>252</v>
      </c>
    </row>
    <row r="30" spans="1:2" x14ac:dyDescent="0.25">
      <c r="A30" s="6" t="s">
        <v>249</v>
      </c>
      <c r="B30" s="8" t="s">
        <v>253</v>
      </c>
    </row>
    <row r="31" spans="1:2" x14ac:dyDescent="0.25">
      <c r="A31" s="6" t="s">
        <v>249</v>
      </c>
      <c r="B31" s="8" t="s">
        <v>254</v>
      </c>
    </row>
    <row r="32" spans="1:2" x14ac:dyDescent="0.25">
      <c r="A32" s="6" t="s">
        <v>249</v>
      </c>
      <c r="B32" s="8" t="s">
        <v>255</v>
      </c>
    </row>
    <row r="33" spans="1:2" x14ac:dyDescent="0.25">
      <c r="A33" s="6" t="s">
        <v>249</v>
      </c>
      <c r="B33" s="7" t="s">
        <v>243</v>
      </c>
    </row>
    <row r="34" spans="1:2" x14ac:dyDescent="0.25">
      <c r="A34" s="6" t="s">
        <v>249</v>
      </c>
      <c r="B34" s="8" t="s">
        <v>256</v>
      </c>
    </row>
    <row r="35" spans="1:2" x14ac:dyDescent="0.25">
      <c r="A35" s="6" t="s">
        <v>249</v>
      </c>
      <c r="B35" s="7" t="s">
        <v>246</v>
      </c>
    </row>
    <row r="36" spans="1:2" x14ac:dyDescent="0.25">
      <c r="A36" s="6" t="s">
        <v>249</v>
      </c>
      <c r="B36" s="7" t="s">
        <v>247</v>
      </c>
    </row>
    <row r="37" spans="1:2" x14ac:dyDescent="0.25">
      <c r="A37" s="6" t="s">
        <v>257</v>
      </c>
      <c r="B37" s="7" t="s">
        <v>229</v>
      </c>
    </row>
    <row r="38" spans="1:2" x14ac:dyDescent="0.25">
      <c r="A38" s="6" t="s">
        <v>257</v>
      </c>
      <c r="B38" s="7" t="s">
        <v>233</v>
      </c>
    </row>
    <row r="39" spans="1:2" x14ac:dyDescent="0.25">
      <c r="A39" s="6" t="s">
        <v>257</v>
      </c>
      <c r="B39" s="8" t="s">
        <v>258</v>
      </c>
    </row>
    <row r="40" spans="1:2" x14ac:dyDescent="0.25">
      <c r="A40" s="6" t="s">
        <v>257</v>
      </c>
      <c r="B40" s="8" t="s">
        <v>259</v>
      </c>
    </row>
    <row r="41" spans="1:2" x14ac:dyDescent="0.25">
      <c r="A41" s="6" t="s">
        <v>257</v>
      </c>
      <c r="B41" s="7" t="s">
        <v>236</v>
      </c>
    </row>
    <row r="42" spans="1:2" x14ac:dyDescent="0.25">
      <c r="A42" s="6" t="s">
        <v>257</v>
      </c>
      <c r="B42" s="7" t="s">
        <v>237</v>
      </c>
    </row>
    <row r="43" spans="1:2" x14ac:dyDescent="0.25">
      <c r="A43" s="6" t="s">
        <v>257</v>
      </c>
      <c r="B43" s="8" t="s">
        <v>260</v>
      </c>
    </row>
    <row r="44" spans="1:2" x14ac:dyDescent="0.25">
      <c r="A44" s="6" t="s">
        <v>257</v>
      </c>
      <c r="B44" s="7" t="s">
        <v>246</v>
      </c>
    </row>
    <row r="45" spans="1:2" x14ac:dyDescent="0.25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ech0160-paket</vt:lpstr>
      <vt:lpstr>ech0160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2022-11-03T13:29:41Z</dcterms:modified>
</cp:coreProperties>
</file>