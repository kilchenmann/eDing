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k/Code/dimag-ingest-poc/mapping/"/>
    </mc:Choice>
  </mc:AlternateContent>
  <xr:revisionPtr revIDLastSave="0" documentId="13_ncr:1_{ADBB8698-63B7-2A4F-B809-443ADCD37E07}" xr6:coauthVersionLast="47" xr6:coauthVersionMax="47" xr10:uidLastSave="{00000000-0000-0000-0000-000000000000}"/>
  <bookViews>
    <workbookView xWindow="0" yWindow="500" windowWidth="38400" windowHeight="21100" tabRatio="691" activeTab="3" xr2:uid="{00000000-000D-0000-FFFF-FFFF00000000}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9"/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11" i="5"/>
  <c r="E19" i="5"/>
  <c r="E27" i="5"/>
  <c r="E35" i="5"/>
  <c r="E43" i="5"/>
  <c r="E51" i="5"/>
  <c r="E59" i="5"/>
  <c r="E67" i="5"/>
  <c r="E75" i="5"/>
  <c r="E13" i="5"/>
  <c r="E29" i="5"/>
  <c r="E45" i="5"/>
  <c r="E53" i="5"/>
  <c r="E69" i="5"/>
  <c r="E22" i="5"/>
  <c r="E38" i="5"/>
  <c r="E54" i="5"/>
  <c r="E15" i="5"/>
  <c r="E31" i="5"/>
  <c r="E47" i="5"/>
  <c r="E63" i="5"/>
  <c r="E8" i="5"/>
  <c r="E40" i="5"/>
  <c r="E64" i="5"/>
  <c r="E9" i="5"/>
  <c r="E41" i="5"/>
  <c r="E57" i="5"/>
  <c r="E73" i="5"/>
  <c r="E18" i="5"/>
  <c r="E26" i="5"/>
  <c r="E34" i="5"/>
  <c r="E50" i="5"/>
  <c r="E4" i="5"/>
  <c r="E12" i="5"/>
  <c r="E20" i="5"/>
  <c r="E28" i="5"/>
  <c r="E36" i="5"/>
  <c r="E44" i="5"/>
  <c r="E52" i="5"/>
  <c r="E60" i="5"/>
  <c r="E68" i="5"/>
  <c r="E76" i="5"/>
  <c r="E5" i="5"/>
  <c r="E21" i="5"/>
  <c r="E37" i="5"/>
  <c r="E61" i="5"/>
  <c r="E6" i="5"/>
  <c r="E30" i="5"/>
  <c r="E46" i="5"/>
  <c r="E70" i="5"/>
  <c r="E23" i="5"/>
  <c r="E39" i="5"/>
  <c r="E55" i="5"/>
  <c r="E71" i="5"/>
  <c r="E16" i="5"/>
  <c r="E24" i="5"/>
  <c r="E32" i="5"/>
  <c r="E48" i="5"/>
  <c r="E56" i="5"/>
  <c r="E72" i="5"/>
  <c r="E17" i="5"/>
  <c r="E33" i="5"/>
  <c r="E49" i="5"/>
  <c r="E65" i="5"/>
  <c r="E10" i="5"/>
  <c r="E42" i="5"/>
  <c r="E58" i="5"/>
  <c r="E66" i="5"/>
  <c r="E62" i="5"/>
  <c r="E14" i="5"/>
  <c r="E7" i="5"/>
  <c r="E25" i="5"/>
  <c r="E74" i="5"/>
  <c r="E2" i="5"/>
  <c r="J5" i="5"/>
  <c r="I5" i="5"/>
  <c r="F2" i="5"/>
  <c r="F3" i="5"/>
  <c r="F4" i="5"/>
  <c r="F5" i="5"/>
  <c r="F6" i="5"/>
  <c r="F7" i="5"/>
  <c r="F8" i="5"/>
  <c r="F9" i="5"/>
  <c r="A74" i="5" l="1"/>
  <c r="F74" i="5" s="1"/>
  <c r="A75" i="5"/>
  <c r="F75" i="5" s="1"/>
  <c r="A76" i="5"/>
  <c r="F76" i="5" s="1"/>
  <c r="A73" i="5"/>
  <c r="F73" i="5" s="1"/>
  <c r="A72" i="5"/>
  <c r="F72" i="5" s="1"/>
  <c r="A71" i="5"/>
  <c r="F71" i="5" s="1"/>
  <c r="A70" i="5"/>
  <c r="F70" i="5" s="1"/>
  <c r="A69" i="5"/>
  <c r="F69" i="5" s="1"/>
  <c r="A25" i="5" l="1"/>
  <c r="F25" i="5" s="1"/>
  <c r="A44" i="5" l="1"/>
  <c r="F44" i="5" s="1"/>
  <c r="A40" i="5"/>
  <c r="F40" i="5" s="1"/>
  <c r="A43" i="5"/>
  <c r="F43" i="5" s="1"/>
  <c r="A50" i="5"/>
  <c r="F50" i="5" s="1"/>
  <c r="A42" i="5"/>
  <c r="F42" i="5" s="1"/>
  <c r="A46" i="5"/>
  <c r="F46" i="5" s="1"/>
  <c r="A45" i="5"/>
  <c r="F45" i="5" s="1"/>
  <c r="A49" i="5"/>
  <c r="F49" i="5" s="1"/>
  <c r="A41" i="5"/>
  <c r="F41" i="5" s="1"/>
  <c r="A48" i="5"/>
  <c r="F48" i="5" s="1"/>
  <c r="A47" i="5"/>
  <c r="F47" i="5" s="1"/>
  <c r="A12" i="5"/>
  <c r="F12" i="5" s="1"/>
  <c r="A20" i="5"/>
  <c r="F20" i="5" s="1"/>
  <c r="A15" i="5"/>
  <c r="F15" i="5" s="1"/>
  <c r="A23" i="5"/>
  <c r="F23" i="5" s="1"/>
  <c r="A10" i="5"/>
  <c r="F10" i="5" s="1"/>
  <c r="A18" i="5"/>
  <c r="F18" i="5" s="1"/>
  <c r="A26" i="5"/>
  <c r="F26" i="5" s="1"/>
  <c r="A13" i="5"/>
  <c r="F13" i="5" s="1"/>
  <c r="A21" i="5"/>
  <c r="F21" i="5" s="1"/>
  <c r="A16" i="5"/>
  <c r="F16" i="5" s="1"/>
  <c r="A24" i="5"/>
  <c r="F24" i="5" s="1"/>
  <c r="A11" i="5"/>
  <c r="F11" i="5" s="1"/>
  <c r="A19" i="5"/>
  <c r="F19" i="5" s="1"/>
  <c r="A27" i="5"/>
  <c r="F27" i="5" s="1"/>
  <c r="A14" i="5"/>
  <c r="F14" i="5" s="1"/>
  <c r="A22" i="5"/>
  <c r="F22" i="5" s="1"/>
  <c r="A17" i="5"/>
  <c r="F17" i="5" s="1"/>
  <c r="F2" i="4"/>
  <c r="A36" i="5" l="1"/>
  <c r="F36" i="5" s="1"/>
  <c r="A28" i="5"/>
  <c r="F28" i="5" s="1"/>
  <c r="A35" i="5"/>
  <c r="F35" i="5" s="1"/>
  <c r="A32" i="5"/>
  <c r="F32" i="5" s="1"/>
  <c r="A30" i="5"/>
  <c r="F30" i="5" s="1"/>
  <c r="A37" i="5"/>
  <c r="F37" i="5" s="1"/>
  <c r="A34" i="5"/>
  <c r="F34" i="5" s="1"/>
  <c r="A33" i="5"/>
  <c r="F33" i="5" s="1"/>
  <c r="A38" i="5"/>
  <c r="F38" i="5" s="1"/>
  <c r="A29" i="5"/>
  <c r="F29" i="5" s="1"/>
  <c r="A39" i="5"/>
  <c r="F39" i="5" s="1"/>
  <c r="A31" i="5"/>
  <c r="F31" i="5" s="1"/>
  <c r="A52" i="5"/>
  <c r="F52" i="5" s="1"/>
  <c r="A60" i="5"/>
  <c r="F60" i="5" s="1"/>
  <c r="A68" i="5"/>
  <c r="F68" i="5" s="1"/>
  <c r="A66" i="5"/>
  <c r="F66" i="5" s="1"/>
  <c r="A67" i="5"/>
  <c r="F67" i="5" s="1"/>
  <c r="A53" i="5"/>
  <c r="F53" i="5" s="1"/>
  <c r="A61" i="5"/>
  <c r="F61" i="5" s="1"/>
  <c r="A51" i="5"/>
  <c r="F51" i="5" s="1"/>
  <c r="A56" i="5"/>
  <c r="F56" i="5" s="1"/>
  <c r="A58" i="5"/>
  <c r="F58" i="5" s="1"/>
  <c r="A54" i="5"/>
  <c r="F54" i="5" s="1"/>
  <c r="A62" i="5"/>
  <c r="F62" i="5" s="1"/>
  <c r="A64" i="5"/>
  <c r="F64" i="5" s="1"/>
  <c r="A55" i="5"/>
  <c r="F55" i="5" s="1"/>
  <c r="A63" i="5"/>
  <c r="F63" i="5" s="1"/>
  <c r="A59" i="5"/>
  <c r="F59" i="5" s="1"/>
  <c r="A57" i="5"/>
  <c r="F57" i="5" s="1"/>
  <c r="A65" i="5"/>
  <c r="F65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115" i="4"/>
  <c r="E150" i="4"/>
  <c r="E6" i="4"/>
  <c r="E92" i="4"/>
  <c r="E127" i="4"/>
  <c r="E139" i="4"/>
  <c r="E80" i="4"/>
  <c r="E100" i="4"/>
  <c r="E135" i="4"/>
  <c r="E75" i="4"/>
  <c r="E169" i="4"/>
  <c r="E48" i="4"/>
  <c r="E83" i="4"/>
  <c r="E118" i="4"/>
  <c r="E145" i="4"/>
  <c r="E140" i="4"/>
  <c r="E60" i="4"/>
  <c r="E95" i="4"/>
  <c r="E14" i="4"/>
  <c r="E47" i="4"/>
  <c r="E68" i="4"/>
  <c r="E103" i="4"/>
  <c r="E16" i="4"/>
  <c r="E32" i="4"/>
  <c r="E77" i="4"/>
  <c r="F2" i="2"/>
  <c r="E40" i="4"/>
  <c r="E73" i="4"/>
  <c r="E147" i="4"/>
  <c r="E142" i="4"/>
  <c r="E159" i="4"/>
  <c r="E132" i="4"/>
  <c r="E119" i="4"/>
  <c r="E96" i="4"/>
  <c r="E42" i="4"/>
  <c r="E104" i="4"/>
  <c r="E109" i="4"/>
  <c r="E52" i="4"/>
  <c r="E4" i="4"/>
  <c r="E64" i="4"/>
  <c r="E161" i="4"/>
  <c r="E37" i="4"/>
  <c r="E133" i="4"/>
  <c r="E178" i="4"/>
  <c r="E151" i="4"/>
  <c r="E66" i="4"/>
  <c r="E2" i="4"/>
  <c r="E101" i="4"/>
  <c r="E26" i="4"/>
  <c r="E112" i="4"/>
  <c r="E44" i="4"/>
  <c r="E130" i="4"/>
  <c r="E165" i="4"/>
  <c r="E90" i="4"/>
  <c r="E152" i="4"/>
  <c r="E94" i="4"/>
  <c r="E129" i="4"/>
  <c r="E58" i="4"/>
  <c r="E27" i="4"/>
  <c r="E107" i="4"/>
  <c r="E20" i="4"/>
  <c r="E55" i="4"/>
  <c r="E156" i="4"/>
  <c r="E172" i="4"/>
  <c r="E88" i="4"/>
  <c r="E170" i="4"/>
  <c r="E8" i="4"/>
  <c r="E157" i="4"/>
  <c r="E137" i="4"/>
  <c r="E120" i="4"/>
  <c r="E70" i="4"/>
  <c r="E84" i="4"/>
  <c r="E46" i="4"/>
  <c r="E33" i="4"/>
  <c r="E162" i="4"/>
  <c r="E65" i="4"/>
  <c r="E56" i="4"/>
  <c r="E146" i="4"/>
  <c r="E102" i="4"/>
  <c r="E62" i="4"/>
  <c r="E148" i="4"/>
  <c r="E24" i="4"/>
  <c r="E98" i="4"/>
  <c r="E125" i="4"/>
  <c r="E160" i="4"/>
  <c r="E143" i="4"/>
  <c r="E168" i="4"/>
  <c r="E111" i="4"/>
  <c r="E93" i="4"/>
  <c r="E30" i="4"/>
  <c r="E38" i="4"/>
  <c r="E21" i="4"/>
  <c r="E25" i="4"/>
  <c r="E121" i="4"/>
  <c r="E85" i="4"/>
  <c r="E35" i="4"/>
  <c r="E154" i="4"/>
  <c r="E22" i="4"/>
  <c r="E49" i="4"/>
  <c r="E123" i="4"/>
  <c r="E158" i="4"/>
  <c r="E5" i="4"/>
  <c r="E3" i="4"/>
  <c r="E131" i="4"/>
  <c r="E166" i="4"/>
  <c r="E7" i="4"/>
  <c r="E78" i="4"/>
  <c r="E141" i="4"/>
  <c r="E122" i="4"/>
  <c r="E149" i="4"/>
  <c r="E17" i="4"/>
  <c r="E82" i="4"/>
  <c r="E91" i="4"/>
  <c r="E126" i="4"/>
  <c r="E153" i="4"/>
  <c r="E76" i="4"/>
  <c r="E99" i="4"/>
  <c r="E134" i="4"/>
  <c r="E51" i="4"/>
  <c r="E86" i="4"/>
  <c r="E113" i="4"/>
  <c r="E28" i="4"/>
  <c r="E63" i="4"/>
  <c r="E11" i="4"/>
  <c r="E173" i="4"/>
  <c r="E36" i="4"/>
  <c r="E71" i="4"/>
  <c r="E10" i="4"/>
  <c r="E175" i="4"/>
  <c r="E174" i="4"/>
  <c r="E19" i="4"/>
  <c r="E54" i="4"/>
  <c r="E81" i="4"/>
  <c r="E171" i="4"/>
  <c r="E155" i="4"/>
  <c r="E31" i="4"/>
  <c r="E12" i="4"/>
  <c r="E45" i="4"/>
  <c r="E163" i="4"/>
  <c r="E39" i="4"/>
  <c r="E164" i="4"/>
  <c r="E50" i="4"/>
  <c r="E23" i="4"/>
  <c r="E9" i="4"/>
  <c r="E124" i="4"/>
  <c r="E136" i="4"/>
  <c r="E41" i="4"/>
  <c r="E167" i="4"/>
  <c r="E34" i="4"/>
  <c r="E61" i="4"/>
  <c r="E110" i="4"/>
  <c r="E69" i="4"/>
  <c r="E114" i="4"/>
  <c r="E87" i="4"/>
  <c r="E144" i="4"/>
  <c r="E29" i="4"/>
  <c r="E177" i="4"/>
  <c r="E106" i="4"/>
  <c r="E79" i="4"/>
  <c r="E116" i="4"/>
  <c r="E72" i="4"/>
  <c r="E128" i="4"/>
  <c r="E74" i="4"/>
  <c r="E43" i="4"/>
  <c r="E53" i="4"/>
  <c r="E57" i="4"/>
  <c r="E176" i="4"/>
  <c r="E97" i="4"/>
  <c r="E138" i="4"/>
  <c r="E105" i="4"/>
  <c r="E117" i="4"/>
  <c r="E59" i="4"/>
  <c r="E67" i="4"/>
  <c r="E15" i="4"/>
  <c r="E108" i="4"/>
  <c r="E13" i="4"/>
  <c r="E89" i="4"/>
  <c r="E18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51" i="2"/>
  <c r="F104" i="2"/>
  <c r="F108" i="2"/>
  <c r="F62" i="2"/>
  <c r="F40" i="2"/>
  <c r="F5" i="2"/>
  <c r="F64" i="2"/>
  <c r="F80" i="2"/>
  <c r="F16" i="2"/>
  <c r="F38" i="2"/>
  <c r="F48" i="2"/>
  <c r="F107" i="2"/>
  <c r="F6" i="2"/>
  <c r="F32" i="2"/>
  <c r="F7" i="2"/>
  <c r="F61" i="2"/>
  <c r="F96" i="2"/>
  <c r="F45" i="2"/>
  <c r="F57" i="2"/>
  <c r="F53" i="2"/>
  <c r="F22" i="2"/>
  <c r="F52" i="2"/>
  <c r="F100" i="2"/>
  <c r="F94" i="2"/>
  <c r="F46" i="2"/>
  <c r="F56" i="2"/>
  <c r="F24" i="2"/>
  <c r="F58" i="2"/>
  <c r="F90" i="2"/>
  <c r="F23" i="2"/>
  <c r="F31" i="2"/>
  <c r="F10" i="2"/>
  <c r="F92" i="2"/>
  <c r="F74" i="2"/>
  <c r="F103" i="2"/>
  <c r="F27" i="2"/>
  <c r="F19" i="2"/>
  <c r="F50" i="2"/>
  <c r="F106" i="2"/>
  <c r="F33" i="2"/>
  <c r="F34" i="2"/>
  <c r="F60" i="2"/>
  <c r="F79" i="2"/>
  <c r="F28" i="2"/>
  <c r="F36" i="2"/>
  <c r="F66" i="2"/>
  <c r="F59" i="2"/>
  <c r="F110" i="2"/>
  <c r="F47" i="2"/>
  <c r="F9" i="2"/>
  <c r="F65" i="2"/>
  <c r="F102" i="2"/>
  <c r="F101" i="2"/>
  <c r="F81" i="2"/>
  <c r="F91" i="2"/>
  <c r="F35" i="2"/>
  <c r="F41" i="2"/>
  <c r="F112" i="2"/>
  <c r="F99" i="2"/>
  <c r="F3" i="2"/>
  <c r="F26" i="2"/>
  <c r="F111" i="2"/>
  <c r="F93" i="2"/>
  <c r="F98" i="2"/>
  <c r="F12" i="2"/>
  <c r="F29" i="2"/>
  <c r="F55" i="2"/>
  <c r="F83" i="2"/>
  <c r="F71" i="2"/>
  <c r="F72" i="2"/>
  <c r="F21" i="2"/>
  <c r="F20" i="2"/>
  <c r="F109" i="2"/>
  <c r="F18" i="2"/>
  <c r="F68" i="2"/>
  <c r="F95" i="2"/>
  <c r="F87" i="2"/>
  <c r="F25" i="2"/>
  <c r="F30" i="2"/>
  <c r="F82" i="2"/>
  <c r="F8" i="2"/>
  <c r="F63" i="2"/>
  <c r="F13" i="2"/>
  <c r="F97" i="2"/>
  <c r="F88" i="2"/>
  <c r="F84" i="2"/>
  <c r="F70" i="2"/>
  <c r="F15" i="2"/>
  <c r="F85" i="2"/>
  <c r="F105" i="2"/>
  <c r="F89" i="2"/>
  <c r="F77" i="2"/>
  <c r="F114" i="2"/>
  <c r="F44" i="2"/>
  <c r="F43" i="2"/>
  <c r="F11" i="2"/>
  <c r="F49" i="2"/>
  <c r="F75" i="2"/>
  <c r="F67" i="2"/>
  <c r="F54" i="2"/>
  <c r="F113" i="2"/>
  <c r="F4" i="2"/>
  <c r="F86" i="2"/>
  <c r="F17" i="2"/>
  <c r="F73" i="2"/>
  <c r="F37" i="2"/>
  <c r="F39" i="2"/>
  <c r="F76" i="2"/>
  <c r="F69" i="2"/>
  <c r="F14" i="2"/>
  <c r="F42" i="2"/>
  <c r="F78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<sst xmlns="http://schemas.openxmlformats.org/spreadsheetml/2006/main" count="1841" uniqueCount="279">
  <si>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</si>
  <si>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</si>
  <si>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</si>
  <si>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</si>
  <si>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</si>
  <si>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</si>
  <si>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</si>
  <si>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</si>
  <si>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</si>
  <si>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</si>
  <si>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</si>
  <si>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</si>
  <si>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</si>
  <si>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</si>
  <si>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</si>
  <si>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</si>
  <si>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</si>
  <si>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</si>
  <si>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</si>
  <si>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</si>
  <si>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</si>
  <si>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</si>
  <si>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</si>
  <si>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</si>
  <si>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</si>
  <si>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</si>
  <si>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</si>
  <si>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</si>
  <si>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</si>
  <si>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</si>
  <si>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</si>
  <si>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</si>
  <si>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</si>
  <si>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</si>
  <si>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</si>
  <si>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</si>
  <si>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</si>
  <si>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</si>
  <si>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</si>
  <si>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</si>
  <si>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</si>
  <si>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</si>
  <si>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</si>
  <si>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</si>
  <si>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</si>
  <si>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</si>
  <si>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</si>
  <si>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</si>
  <si>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</si>
  <si>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</si>
  <si>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</si>
  <si>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</si>
  <si>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</si>
  <si>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</si>
  <si>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</si>
  <si>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</si>
  <si>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</si>
  <si>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</si>
  <si>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</si>
  <si>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</si>
  <si>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</si>
  <si>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</si>
  <si>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</si>
  <si>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</si>
  <si>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</si>
  <si>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</si>
  <si>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</si>
  <si>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</si>
  <si>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</si>
  <si>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</si>
  <si>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</si>
  <si>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</si>
  <si>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</si>
  <si>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</si>
  <si>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</si>
  <si>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</si>
  <si>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</si>
  <si>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</si>
  <si>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</si>
  <si>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</si>
  <si>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</si>
  <si>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</si>
  <si>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</si>
  <si>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</si>
  <si>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</si>
  <si>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</si>
  <si>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</si>
  <si>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</si>
  <si>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</si>
  <si>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</si>
  <si>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</si>
  <si>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</si>
  <si>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</si>
  <si>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</si>
  <si>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</si>
  <si>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</si>
  <si>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</si>
  <si>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</si>
  <si>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</si>
  <si>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</si>
  <si>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</si>
  <si>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</si>
  <si>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</si>
  <si>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</si>
  <si>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</si>
  <si>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</si>
  <si>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</si>
  <si>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</si>
  <si>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</si>
  <si>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</si>
  <si>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</si>
  <si>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</si>
  <si>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</si>
  <si>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</si>
  <si>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</si>
  <si>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</si>
  <si>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</si>
  <si>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</si>
  <si>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</si>
  <si>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</si>
  <si>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</si>
  <si>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</si>
  <si>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</si>
  <si>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</si>
  <si>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</si>
  <si>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</si>
  <si>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</si>
  <si>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</si>
  <si>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</si>
  <si>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</si>
  <si>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</si>
  <si>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</si>
  <si>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</si>
  <si>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</si>
  <si>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</si>
  <si>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</si>
  <si>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</si>
  <si>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</si>
  <si>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</si>
  <si>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</si>
  <si>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</si>
  <si>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</si>
  <si>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</si>
  <si>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</si>
  <si>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</si>
  <si>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</si>
  <si>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</si>
  <si>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</si>
  <si>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</si>
  <si>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</si>
  <si>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</si>
  <si>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</si>
  <si>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</si>
  <si>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</si>
  <si>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</si>
  <si>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</si>
  <si>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</si>
  <si>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</si>
  <si>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</si>
  <si>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</si>
  <si>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</si>
  <si>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</si>
  <si>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</si>
  <si>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</si>
  <si>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</si>
  <si>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</si>
  <si>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</si>
  <si>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</si>
  <si>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</si>
  <si>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</si>
  <si>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</si>
  <si>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</si>
  <si>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</si>
  <si>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</si>
  <si>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</si>
  <si>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</si>
  <si>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</si>
  <si>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</si>
  <si>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</si>
  <si>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</si>
  <si>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</si>
  <si>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</si>
  <si>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</si>
  <si>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</si>
  <si>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</si>
  <si>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</si>
  <si>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</si>
  <si>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</si>
  <si>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</si>
  <si>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</si>
  <si>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</si>
  <si>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</si>
  <si>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</si>
  <si>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</si>
  <si>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</si>
  <si>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</si>
  <si>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</si>
  <si>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</si>
  <si>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</si>
  <si>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</si>
  <si>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</si>
  <si>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</si>
  <si>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</si>
  <si>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</si>
  <si>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</si>
  <si>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</si>
  <si>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</si>
  <si>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</si>
  <si>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</si>
  <si>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</si>
  <si>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</si>
  <si>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</si>
  <si>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</si>
  <si>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</si>
  <si>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</si>
  <si>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</si>
  <si>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</si>
  <si>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</si>
  <si>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</si>
  <si>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</si>
  <si>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</si>
  <si>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</si>
  <si>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</si>
  <si>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</si>
  <si>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</si>
  <si>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</si>
  <si>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</si>
  <si>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</si>
  <si>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</si>
  <si>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</si>
  <si>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</si>
  <si>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</si>
  <si>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</si>
  <si>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</si>
  <si>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</si>
  <si>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</si>
  <si>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</si>
  <si>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</si>
  <si>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</si>
  <si>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</si>
  <si>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</si>
  <si>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</si>
  <si>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</si>
  <si>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</si>
  <si>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</si>
  <si>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</si>
  <si>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</si>
  <si>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</si>
  <si>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</si>
  <si>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</si>
  <si>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</si>
  <si>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</si>
  <si>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</si>
  <si>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</si>
  <si>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</si>
  <si>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</si>
  <si>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</si>
  <si>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</si>
  <si>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</si>
  <si>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</si>
  <si>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</si>
  <si>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</si>
  <si>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</si>
  <si>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</si>
  <si>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</si>
  <si>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</si>
  <si>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</si>
  <si>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</si>
  <si>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</si>
  <si>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</si>
  <si>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</si>
  <si>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</si>
  <si>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</si>
  <si>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Dateiname</t>
  </si>
  <si>
    <t>parent_only</t>
  </si>
  <si>
    <t>directory</t>
  </si>
  <si>
    <t>pathslice</t>
  </si>
  <si>
    <t>Ordnername</t>
  </si>
  <si>
    <t>per_aip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</si>
</sst>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1:R199" tableType="xml" totalsRowShown="0" connectionId="1">
  <autoFilter ref="A1:R199" xr:uid="{00000000-0009-0000-0100-000001000000}"/>
  <tableColumns count="18">
    <tableColumn id="8" xr3:uid="{00000000-0010-0000-0000-000008000000}" uniqueName="name" name="name2">
      <xmlColumnPr mapId="1" xpath="/ns1:schema/ns1:complexType/@name" xmlDataType="string"/>
    </tableColumn>
    <tableColumn id="12" xr3:uid="{00000000-0010-0000-0000-00000C000000}" uniqueName="name" name="name3">
      <xmlColumnPr mapId="1" xpath="/ns1:schema/ns1:complexType/ns1:sequence/ns1:element/@name" xmlDataType="string"/>
    </tableColumn>
    <tableColumn id="13" xr3:uid="{00000000-0010-0000-0000-00000D000000}" uniqueName="type" name="type4">
      <xmlColumnPr mapId="1" xpath="/ns1:schema/ns1:complexType/ns1:sequence/ns1:element/@type" xmlDataType="string"/>
    </tableColumn>
    <tableColumn id="20" xr3:uid="{00000000-0010-0000-0000-000014000000}" uniqueName="name" name="name8">
      <xmlColumnPr mapId="1" xpath="/ns1:schema/ns1:complexType/ns1:sequence/ns1:sequence/ns1:element/@name" xmlDataType="string"/>
    </tableColumn>
    <tableColumn id="21" xr3:uid="{00000000-0010-0000-0000-000015000000}" uniqueName="type" name="type9">
      <xmlColumnPr mapId="1" xpath="/ns1:schema/ns1:complexType/ns1:sequence/ns1:sequence/ns1:element/@type" xmlDataType="string"/>
    </tableColumn>
    <tableColumn id="24" xr3:uid="{00000000-0010-0000-0000-000018000000}" uniqueName="name" name="name12">
      <xmlColumnPr mapId="1" xpath="/ns1:schema/ns1:complexType/ns1:attribute/@name" xmlDataType="string"/>
    </tableColumn>
    <tableColumn id="25" xr3:uid="{00000000-0010-0000-0000-000019000000}" uniqueName="type" name="type13">
      <xmlColumnPr mapId="1" xpath="/ns1:schema/ns1:complexType/ns1:attribute/@type" xmlDataType="string"/>
    </tableColumn>
    <tableColumn id="28" xr3:uid="{00000000-0010-0000-0000-00001C000000}" uniqueName="base" name="base">
      <xmlColumnPr mapId="1" xpath="/ns1:schema/ns1:complexType/ns1:complexContent/ns1:extension/@base" xmlDataType="string"/>
    </tableColumn>
    <tableColumn id="29" xr3:uid="{00000000-0010-0000-0000-00001D000000}" uniqueName="name" name="name15">
      <xmlColumnPr mapId="1" xpath="/ns1:schema/ns1:complexType/ns1:complexContent/ns1:extension/ns1:sequence/ns1:element/@name" xmlDataType="string"/>
    </tableColumn>
    <tableColumn id="30" xr3:uid="{00000000-0010-0000-0000-00001E000000}" uniqueName="type" name="type16">
      <xmlColumnPr mapId="1" xpath="/ns1:schema/ns1:complexType/ns1:complexContent/ns1:extension/ns1:sequence/ns1:element/@type" xmlDataType="string"/>
    </tableColumn>
    <tableColumn id="33" xr3:uid="{00000000-0010-0000-0000-000021000000}" uniqueName="name" name="name19">
      <xmlColumnPr mapId="1" xpath="/ns1:schema/ns1:complexType/ns1:complexContent/ns1:extension/ns1:sequence/ns1:element/ns1:unique/@name" xmlDataType="string"/>
    </tableColumn>
    <tableColumn id="36" xr3:uid="{00000000-0010-0000-0000-000024000000}" uniqueName="name" name="name22">
      <xmlColumnPr mapId="1" xpath="/ns1:schema/ns1:complexType/ns1:complexContent/ns1:extension/ns1:attribute/@name" xmlDataType="string"/>
    </tableColumn>
    <tableColumn id="37" xr3:uid="{00000000-0010-0000-0000-000025000000}" uniqueName="type" name="type23">
      <xmlColumnPr mapId="1" xpath="/ns1:schema/ns1:complexType/ns1:complexContent/ns1:extension/ns1:attribute/@type" xmlDataType="string"/>
    </tableColumn>
    <tableColumn id="39" xr3:uid="{00000000-0010-0000-0000-000027000000}" uniqueName="base" name="base25">
      <xmlColumnPr mapId="1" xpath="/ns1:schema/ns1:complexType/ns1:simpleContent/ns1:extension/@base" xmlDataType="string"/>
    </tableColumn>
    <tableColumn id="40" xr3:uid="{00000000-0010-0000-0000-000028000000}" uniqueName="name" name="name26">
      <xmlColumnPr mapId="1" xpath="/ns1:schema/ns1:complexType/ns1:simpleContent/ns1:extension/ns1:attribute/@name" xmlDataType="string"/>
    </tableColumn>
    <tableColumn id="41" xr3:uid="{00000000-0010-0000-0000-000029000000}" uniqueName="type" name="type27">
      <xmlColumnPr mapId="1" xpath="/ns1:schema/ns1:complexType/ns1:simpleContent/ns1:extension/ns1:attribute/@type" xmlDataType="string"/>
    </tableColumn>
    <tableColumn id="44" xr3:uid="{00000000-0010-0000-0000-00002C000000}" uniqueName="name" name="name30">
      <xmlColumnPr mapId="1" xpath="/ns1:schema/ns1:simpleType/@name" xmlDataType="string"/>
    </tableColumn>
    <tableColumn id="45" xr3:uid="{00000000-0010-0000-0000-00002D000000}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99"/>
  <sheetViews>
    <sheetView topLeftCell="A100" workbookViewId="0">
      <selection activeCell="B117" sqref="B117"/>
    </sheetView>
  </sheetViews>
  <sheetFormatPr baseColWidth="10" defaultRowHeight="15" x14ac:dyDescent="0.2"/>
  <cols>
    <col min="1" max="1" width="36.5" bestFit="1" customWidth="1"/>
    <col min="2" max="2" width="34.5" bestFit="1" customWidth="1"/>
    <col min="3" max="3" width="57.33203125" bestFit="1" customWidth="1"/>
    <col min="4" max="4" width="15.1640625" bestFit="1" customWidth="1"/>
    <col min="5" max="5" width="24.1640625" bestFit="1" customWidth="1"/>
    <col min="6" max="6" width="14.5" bestFit="1" customWidth="1"/>
    <col min="7" max="7" width="17.6640625" bestFit="1" customWidth="1"/>
    <col min="8" max="8" width="23.1640625" bestFit="1" customWidth="1"/>
    <col min="9" max="9" width="36.1640625" bestFit="1" customWidth="1"/>
    <col min="10" max="10" width="47.5" bestFit="1" customWidth="1"/>
    <col min="11" max="11" width="46.1640625" bestFit="1" customWidth="1"/>
    <col min="12" max="12" width="10.33203125" bestFit="1" customWidth="1"/>
    <col min="13" max="13" width="25.1640625" bestFit="1" customWidth="1"/>
    <col min="14" max="14" width="11.33203125" bestFit="1" customWidth="1"/>
    <col min="15" max="15" width="15.33203125" bestFit="1" customWidth="1"/>
    <col min="16" max="16" width="20.5" bestFit="1" customWidth="1"/>
    <col min="17" max="17" width="16.5" bestFit="1" customWidth="1"/>
    <col min="18" max="18" width="24.83203125" bestFit="1" customWidth="1"/>
  </cols>
  <sheetData>
    <row r="1" spans="1:18" x14ac:dyDescent="0.2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2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2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2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2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2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2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2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2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2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2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2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2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2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2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2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2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2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2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2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2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2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2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2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2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2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2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2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2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2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2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2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2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2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2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2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2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2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2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2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2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2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2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2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2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2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2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2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2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2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2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2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2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2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2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2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2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2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2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2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2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2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2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2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2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2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2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2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2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2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2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2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2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2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2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2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2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2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2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2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2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2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2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2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2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2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2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2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A114"/>
  <sheetViews>
    <sheetView zoomScaleNormal="100" workbookViewId="0">
      <selection activeCell="F2" sqref="F2"/>
    </sheetView>
  </sheetViews>
  <sheetFormatPr baseColWidth="10" defaultColWidth="11.5" defaultRowHeight="15" x14ac:dyDescent="0.2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5" bestFit="1" customWidth="1"/>
    <col min="6" max="6" width="36.1640625" customWidth="1"/>
    <col min="7" max="7" width="99.5" bestFit="1" customWidth="1"/>
  </cols>
  <sheetData>
    <row r="1" spans="1:8" s="3" customFormat="1" x14ac:dyDescent="0.2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x14ac:dyDescent="0.2">
      <c r="A2" t="s">
        <v>209</v>
      </c>
      <c r="B2" t="s">
        <v>20</v>
      </c>
      <c r="F2" s="4" t="e">
        <f>PROPER(Umlaut(FixSpacing(B2),1))&amp;IF(C2="",""," "&amp;C2)</f>
        <v>#VALUE!</v>
      </c>
      <c r="G2" t="str">
        <f>A2&amp;B2</f>
        <v>/paket</v>
      </c>
    </row>
    <row r="3" spans="1:8" x14ac:dyDescent="0.2">
      <c r="A3" t="str">
        <f>G2</f>
        <v>/paket</v>
      </c>
      <c r="B3" t="s">
        <v>58</v>
      </c>
      <c r="F3" s="4" t="e">
        <f t="shared" ref="F3:F13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x14ac:dyDescent="0.2">
      <c r="A4" t="str">
        <f>G2</f>
        <v>/paket</v>
      </c>
      <c r="B4" t="s">
        <v>59</v>
      </c>
      <c r="F4" s="4" t="e">
        <f t="shared" ref="F4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x14ac:dyDescent="0.2">
      <c r="A5" t="str">
        <f>G2</f>
        <v>/paket</v>
      </c>
      <c r="B5" t="s">
        <v>22</v>
      </c>
      <c r="F5" s="4" t="e">
        <f t="shared" si="0"/>
        <v>#VALUE!</v>
      </c>
      <c r="G5" t="str">
        <f t="shared" si="1"/>
        <v>/paket/ablieferung</v>
      </c>
    </row>
    <row r="6" spans="1:8" x14ac:dyDescent="0.2">
      <c r="A6" t="str">
        <f>G5</f>
        <v>/paket/ablieferung</v>
      </c>
      <c r="B6" t="s">
        <v>60</v>
      </c>
      <c r="F6" s="4" t="e">
        <f t="shared" si="0"/>
        <v>#VALUE!</v>
      </c>
      <c r="G6" t="str">
        <f t="shared" si="1"/>
        <v>/paket/ablieferung/ablieferungstyp</v>
      </c>
    </row>
    <row r="7" spans="1:8" x14ac:dyDescent="0.2">
      <c r="A7" t="str">
        <f>G5</f>
        <v>/paket/ablieferung</v>
      </c>
      <c r="B7" s="2" t="s">
        <v>61</v>
      </c>
      <c r="F7" s="4" t="e">
        <f t="shared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x14ac:dyDescent="0.2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si="0"/>
        <v>#VALUE!</v>
      </c>
      <c r="G8" t="str">
        <f t="shared" si="1"/>
        <v>/paket/ablieferung/entstehungszeitraum/von/datum</v>
      </c>
    </row>
    <row r="9" spans="1:8" x14ac:dyDescent="0.2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si="0"/>
        <v>#VALUE!</v>
      </c>
      <c r="G9" t="str">
        <f t="shared" si="1"/>
        <v>/paket/ablieferung/entstehungszeitraum/bis/datum</v>
      </c>
    </row>
    <row r="10" spans="1:8" x14ac:dyDescent="0.2">
      <c r="A10" t="str">
        <f>G5</f>
        <v>/paket/ablieferung</v>
      </c>
      <c r="B10" s="1" t="s">
        <v>63</v>
      </c>
      <c r="F10" s="4" t="e">
        <f t="shared" si="0"/>
        <v>#VALUE!</v>
      </c>
      <c r="G10" t="str">
        <f t="shared" si="1"/>
        <v>/paket/ablieferung/ablieferungsteile</v>
      </c>
    </row>
    <row r="11" spans="1:8" x14ac:dyDescent="0.2">
      <c r="A11" t="str">
        <f>G5</f>
        <v>/paket/ablieferung</v>
      </c>
      <c r="B11" s="1" t="s">
        <v>64</v>
      </c>
      <c r="F11" s="4" t="e">
        <f t="shared" si="0"/>
        <v>#VALUE!</v>
      </c>
      <c r="G11" t="str">
        <f t="shared" si="1"/>
        <v>/paket/ablieferung/bemerkung</v>
      </c>
    </row>
    <row r="12" spans="1:8" x14ac:dyDescent="0.2">
      <c r="A12" t="str">
        <f>G5</f>
        <v>/paket/ablieferung</v>
      </c>
      <c r="B12" s="1" t="s">
        <v>59</v>
      </c>
      <c r="F12" s="4" t="e">
        <f t="shared" si="0"/>
        <v>#VALUE!</v>
      </c>
      <c r="G12" t="str">
        <f t="shared" si="1"/>
        <v>/paket/ablieferung/zusatzDaten</v>
      </c>
    </row>
    <row r="13" spans="1:8" x14ac:dyDescent="0.2">
      <c r="A13" t="str">
        <f>G5</f>
        <v>/paket/ablieferung</v>
      </c>
      <c r="B13" s="1" t="s">
        <v>57</v>
      </c>
      <c r="F13" s="4" t="e">
        <f t="shared" si="0"/>
        <v>#VALUE!</v>
      </c>
      <c r="G13" t="str">
        <f t="shared" si="1"/>
        <v>/paket/ablieferung/unstrukturierterAnhang</v>
      </c>
      <c r="H13" t="s">
        <v>219</v>
      </c>
    </row>
    <row r="14" spans="1:8" x14ac:dyDescent="0.2">
      <c r="A14" t="str">
        <f>G13</f>
        <v>/paket/ablieferung/unstrukturierterAnhang</v>
      </c>
      <c r="B14" t="s">
        <v>220</v>
      </c>
      <c r="F14" s="4" t="e">
        <f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x14ac:dyDescent="0.2">
      <c r="A15" t="str">
        <f>G$5</f>
        <v>/paket/ablieferung</v>
      </c>
      <c r="B15" s="1" t="s">
        <v>165</v>
      </c>
      <c r="F15" s="4" t="e">
        <f t="shared" ref="F15:F39" si="5">PROPER(Umlaut(FixSpacing(B15),1))&amp;IF(C15="",""," "&amp;C15)</f>
        <v>#VALUE!</v>
      </c>
      <c r="G15" t="str">
        <f t="shared" si="1"/>
        <v>/paket/ablieferung/ablieferungsnummer</v>
      </c>
    </row>
    <row r="16" spans="1:8" x14ac:dyDescent="0.2">
      <c r="A16" t="str">
        <f t="shared" ref="A16:A41" si="6">G$5</f>
        <v>/paket/ablieferung</v>
      </c>
      <c r="B16" s="1" t="s">
        <v>166</v>
      </c>
      <c r="F16" s="4" t="e">
        <f t="shared" si="5"/>
        <v>#VALUE!</v>
      </c>
      <c r="G16" t="str">
        <f t="shared" si="1"/>
        <v>/paket/ablieferung/angebotsnummer</v>
      </c>
    </row>
    <row r="17" spans="1:27" x14ac:dyDescent="0.2">
      <c r="A17" t="str">
        <f t="shared" si="6"/>
        <v>/paket/ablieferung</v>
      </c>
      <c r="B17" s="1" t="s">
        <v>167</v>
      </c>
      <c r="F17" s="4" t="e">
        <f t="shared" si="5"/>
        <v>#VALUE!</v>
      </c>
      <c r="G17" t="str">
        <f t="shared" si="1"/>
        <v>/paket/ablieferung/referenzBewertungsentscheid</v>
      </c>
    </row>
    <row r="18" spans="1:27" x14ac:dyDescent="0.2">
      <c r="A18" t="str">
        <f t="shared" si="6"/>
        <v>/paket/ablieferung</v>
      </c>
      <c r="B18" s="1" t="s">
        <v>168</v>
      </c>
      <c r="F18" s="4" t="e">
        <f t="shared" si="5"/>
        <v>#VALUE!</v>
      </c>
      <c r="G18" t="str">
        <f t="shared" si="1"/>
        <v>/paket/ablieferung/referenzSchutzfristenFormular</v>
      </c>
    </row>
    <row r="19" spans="1:27" x14ac:dyDescent="0.2">
      <c r="A19" t="str">
        <f t="shared" si="6"/>
        <v>/paket/ablieferung</v>
      </c>
      <c r="B19" s="1" t="s">
        <v>169</v>
      </c>
      <c r="F19" s="4" t="e">
        <f t="shared" si="5"/>
        <v>#VALUE!</v>
      </c>
      <c r="G19" t="str">
        <f t="shared" si="1"/>
        <v>/paket/ablieferung/schutzfristenkategorie</v>
      </c>
    </row>
    <row r="20" spans="1:27" x14ac:dyDescent="0.2">
      <c r="A20" t="str">
        <f t="shared" si="6"/>
        <v>/paket/ablieferung</v>
      </c>
      <c r="B20" s="1" t="s">
        <v>170</v>
      </c>
      <c r="F20" s="4" t="e">
        <f t="shared" si="5"/>
        <v>#VALUE!</v>
      </c>
      <c r="G20" t="str">
        <f t="shared" si="1"/>
        <v>/paket/ablieferung/schutzfrist</v>
      </c>
    </row>
    <row r="21" spans="1:27" x14ac:dyDescent="0.2">
      <c r="A21" t="str">
        <f t="shared" si="6"/>
        <v>/paket/ablieferung</v>
      </c>
      <c r="B21" s="1" t="s">
        <v>56</v>
      </c>
      <c r="F21" s="4" t="e">
        <f t="shared" si="5"/>
        <v>#VALUE!</v>
      </c>
      <c r="G21" t="str">
        <f t="shared" si="1"/>
        <v>/paket/ablieferung/archivischeNotiz</v>
      </c>
    </row>
    <row r="22" spans="1:27" x14ac:dyDescent="0.2">
      <c r="A22" t="str">
        <f t="shared" si="6"/>
        <v>/paket/ablieferung</v>
      </c>
      <c r="B22" s="1" t="s">
        <v>26</v>
      </c>
      <c r="F22" s="4" t="e">
        <f t="shared" si="5"/>
        <v>#VALUE!</v>
      </c>
      <c r="G22" t="str">
        <f t="shared" si="1"/>
        <v>/paket/ablieferung/provenienz</v>
      </c>
    </row>
    <row r="23" spans="1:27" x14ac:dyDescent="0.2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" x14ac:dyDescent="0.25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" x14ac:dyDescent="0.25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" x14ac:dyDescent="0.25">
      <c r="A36" t="str">
        <f t="shared" si="6"/>
        <v>/paket/ablieferung</v>
      </c>
      <c r="B36" s="1" t="s">
        <v>29</v>
      </c>
      <c r="F36" s="4" t="e">
        <f t="shared" si="5"/>
        <v>#VALUE!</v>
      </c>
      <c r="G36" t="str">
        <f t="shared" si="1"/>
        <v>/paket/ablieferung/ordnungssystem</v>
      </c>
    </row>
    <row r="37" spans="1:27" ht="16" x14ac:dyDescent="0.25">
      <c r="A37" t="str">
        <f t="shared" si="6"/>
        <v>/paket/ablieferung</v>
      </c>
      <c r="B37" s="1" t="s">
        <v>26</v>
      </c>
      <c r="F37" s="4" t="e">
        <f t="shared" si="5"/>
        <v>#VALUE!</v>
      </c>
      <c r="G37" t="str">
        <f t="shared" si="1"/>
        <v>/paket/ablieferung/provenienz</v>
      </c>
    </row>
    <row r="38" spans="1:27" ht="16" x14ac:dyDescent="0.25">
      <c r="A38" t="str">
        <f t="shared" si="6"/>
        <v>/paket/ablieferung</v>
      </c>
      <c r="B38" s="1" t="s">
        <v>29</v>
      </c>
      <c r="F38" s="4" t="e">
        <f t="shared" si="5"/>
        <v>#VALUE!</v>
      </c>
      <c r="G38" t="str">
        <f t="shared" si="1"/>
        <v>/paket/ablieferung/ordnungssystem</v>
      </c>
    </row>
    <row r="39" spans="1:27" ht="16" x14ac:dyDescent="0.25">
      <c r="A39" t="str">
        <f t="shared" si="6"/>
        <v>/paket/ablieferung</v>
      </c>
      <c r="B39" s="1" t="s">
        <v>40</v>
      </c>
      <c r="F39" s="4" t="e">
        <f t="shared" si="5"/>
        <v>#VALUE!</v>
      </c>
      <c r="G39" t="str">
        <f t="shared" si="1"/>
        <v>/paket/ablieferung/mappe</v>
      </c>
    </row>
    <row r="40" spans="1:27" ht="16" x14ac:dyDescent="0.25">
      <c r="A40" t="str">
        <f>+G39</f>
        <v>/paket/ablieferung/mappe</v>
      </c>
      <c r="B40" t="s">
        <v>190</v>
      </c>
      <c r="E40" t="s">
        <v>223</v>
      </c>
      <c r="F40" s="4" t="e">
        <f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" x14ac:dyDescent="0.25">
      <c r="A41" t="str">
        <f t="shared" si="6"/>
        <v>/paket/ablieferung</v>
      </c>
      <c r="B41" t="s">
        <v>29</v>
      </c>
      <c r="F41" s="4" t="e">
        <f t="shared" ref="F41:F72" si="9">PROPER(Umlaut(FixSpacing(B41),1))&amp;IF(C41="",""," "&amp;C41)</f>
        <v>#VALUE!</v>
      </c>
      <c r="G41" t="str">
        <f t="shared" si="1"/>
        <v>/paket/ablieferung/ordnungssystem</v>
      </c>
    </row>
    <row r="42" spans="1:27" ht="16" x14ac:dyDescent="0.25">
      <c r="A42" t="str">
        <f>G$41</f>
        <v>/paket/ablieferung/ordnungssystem</v>
      </c>
      <c r="B42" s="1" t="s">
        <v>70</v>
      </c>
      <c r="E42" t="s">
        <v>221</v>
      </c>
      <c r="F42" s="4" t="e">
        <f t="shared" si="9"/>
        <v>#VALUE!</v>
      </c>
      <c r="G42" t="str">
        <f t="shared" si="1"/>
        <v>/paket/ablieferung/ordnungssystem/generation</v>
      </c>
    </row>
    <row r="43" spans="1:27" ht="16" x14ac:dyDescent="0.25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si="9"/>
        <v>#VALUE!</v>
      </c>
      <c r="G43" t="str">
        <f t="shared" si="1"/>
        <v>/paket/ablieferung/ordnungssystem/anwendungszeitraum/von/datum</v>
      </c>
    </row>
    <row r="44" spans="1:27" ht="16" x14ac:dyDescent="0.25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si="9"/>
        <v>#VALUE!</v>
      </c>
      <c r="G44" t="str">
        <f t="shared" si="1"/>
        <v>/paket/ablieferung/ordnungssystem/anwendungszeitraum/bis/datum</v>
      </c>
    </row>
    <row r="45" spans="1:27" ht="16" x14ac:dyDescent="0.25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si="9"/>
        <v>#VALUE!</v>
      </c>
      <c r="G45" t="str">
        <f t="shared" si="1"/>
        <v>/paket/ablieferung/ordnungssystem/mitbenutzung</v>
      </c>
    </row>
    <row r="46" spans="1:27" ht="16" x14ac:dyDescent="0.25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si="9"/>
        <v>#VALUE!</v>
      </c>
      <c r="G46" t="str">
        <f t="shared" si="1"/>
        <v>/paket/ablieferung/ordnungssystem/bemerkung</v>
      </c>
    </row>
    <row r="47" spans="1:27" ht="16" x14ac:dyDescent="0.25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si="9"/>
        <v>#VALUE!</v>
      </c>
      <c r="G47" t="str">
        <f t="shared" si="1"/>
        <v>/paket/ablieferung/ordnungssystem/zusatzDaten</v>
      </c>
    </row>
    <row r="48" spans="1:27" ht="16" x14ac:dyDescent="0.25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si="9"/>
        <v>#VALUE!</v>
      </c>
      <c r="G48" t="str">
        <f t="shared" si="1"/>
        <v>/paket/ablieferung/ordnungssystem/name</v>
      </c>
    </row>
    <row r="49" spans="1:7" ht="16" x14ac:dyDescent="0.25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si="9"/>
        <v>#VALUE!</v>
      </c>
      <c r="G49" t="str">
        <f t="shared" si="1"/>
        <v>/paket/ablieferung/ordnungssystem/ordnungssystemposition</v>
      </c>
    </row>
    <row r="50" spans="1:7" ht="16" x14ac:dyDescent="0.25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si="9"/>
        <v>#VALUE!</v>
      </c>
      <c r="G50" t="str">
        <f t="shared" si="1"/>
        <v>/paket/ablieferung/ordnungssystem/ordnungssystemposition/federfuehrendeOrganisationseinheit</v>
      </c>
    </row>
    <row r="51" spans="1:7" ht="16" x14ac:dyDescent="0.25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si="9"/>
        <v>#VALUE!</v>
      </c>
      <c r="G51" t="str">
        <f t="shared" si="1"/>
        <v>/paket/ablieferung/ordnungssystem/ordnungssystemposition/klassifizierungskategorie</v>
      </c>
    </row>
    <row r="52" spans="1:7" ht="16" x14ac:dyDescent="0.25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si="9"/>
        <v>#VALUE!</v>
      </c>
      <c r="G52" t="str">
        <f t="shared" si="1"/>
        <v>/paket/ablieferung/ordnungssystem/ordnungssystemposition/datenschutz</v>
      </c>
    </row>
    <row r="53" spans="1:7" ht="16" x14ac:dyDescent="0.25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si="9"/>
        <v>#VALUE!</v>
      </c>
      <c r="G53" t="str">
        <f t="shared" si="1"/>
        <v>/paket/ablieferung/ordnungssystem/ordnungssystemposition/oeffentlichkeitsstatus</v>
      </c>
    </row>
    <row r="54" spans="1:7" ht="16" x14ac:dyDescent="0.25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si="9"/>
        <v>#VALUE!</v>
      </c>
      <c r="G54" t="str">
        <f t="shared" si="1"/>
        <v>/paket/ablieferung/ordnungssystem/ordnungssystemposition/oeffentlichkeitsstatusBegruendung</v>
      </c>
    </row>
    <row r="55" spans="1:7" ht="16" x14ac:dyDescent="0.25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si="9"/>
        <v>#VALUE!</v>
      </c>
      <c r="G55" t="str">
        <f t="shared" si="1"/>
        <v>/paket/ablieferung/ordnungssystem/ordnungssystemposition/sonstigeBestimmungen</v>
      </c>
    </row>
    <row r="56" spans="1:7" ht="16" x14ac:dyDescent="0.25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si="9"/>
        <v>#VALUE!</v>
      </c>
      <c r="G56" t="str">
        <f t="shared" si="1"/>
        <v>/paket/ablieferung/ordnungssystem/ordnungssystemposition/zusatzDaten</v>
      </c>
    </row>
    <row r="57" spans="1:7" ht="16" x14ac:dyDescent="0.25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si="9"/>
        <v>#VALUE!</v>
      </c>
      <c r="G57" t="str">
        <f t="shared" si="1"/>
        <v>/paket/ablieferung/ordnungssystem/ordnungssystemposition/nummer</v>
      </c>
    </row>
    <row r="58" spans="1:7" ht="16" x14ac:dyDescent="0.25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si="9"/>
        <v>#VALUE!</v>
      </c>
      <c r="G58" t="str">
        <f t="shared" si="1"/>
        <v>/paket/ablieferung/ordnungssystem/ordnungssystemposition/titel</v>
      </c>
    </row>
    <row r="59" spans="1:7" ht="16" x14ac:dyDescent="0.25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si="9"/>
        <v>#VALUE!</v>
      </c>
      <c r="G59" t="str">
        <f t="shared" si="1"/>
        <v>/paket/ablieferung/ordnungssystem/ordnungssystemposition/schutzfristenkategorie</v>
      </c>
    </row>
    <row r="60" spans="1:7" ht="16" x14ac:dyDescent="0.25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si="9"/>
        <v>#VALUE!</v>
      </c>
      <c r="G60" t="str">
        <f t="shared" si="1"/>
        <v>/paket/ablieferung/ordnungssystem/ordnungssystemposition/schutzfrist</v>
      </c>
    </row>
    <row r="61" spans="1:7" ht="16" x14ac:dyDescent="0.25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si="9"/>
        <v>#VALUE!</v>
      </c>
      <c r="G61" t="str">
        <f t="shared" si="1"/>
        <v>/paket/ablieferung/ordnungssystem/ordnungssystemposition/schutzfristenBegruendung</v>
      </c>
    </row>
    <row r="62" spans="1:7" ht="16" x14ac:dyDescent="0.25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si="9"/>
        <v>#VALUE!</v>
      </c>
      <c r="G62" t="str">
        <f t="shared" si="1"/>
        <v>/paket/ablieferung/ordnungssystem/ordnungssystemposition/ordnungssystemposition</v>
      </c>
    </row>
    <row r="63" spans="1:7" ht="16" x14ac:dyDescent="0.25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si="9"/>
        <v>#VALUE!</v>
      </c>
      <c r="G63" t="str">
        <f t="shared" si="1"/>
        <v>/paket/ablieferung/ordnungssystem/ordnungssystemposition/dossier</v>
      </c>
    </row>
    <row r="64" spans="1:7" ht="16" x14ac:dyDescent="0.25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si="9"/>
        <v>#VALUE!</v>
      </c>
      <c r="G64" t="str">
        <f t="shared" si="1"/>
        <v>/paket/ablieferung/ordnungssystem/ordnungssystemposition/dossier/zusatzmerkmal</v>
      </c>
    </row>
    <row r="65" spans="1:7" ht="16" x14ac:dyDescent="0.25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si="9"/>
        <v>#VALUE!</v>
      </c>
      <c r="G65" t="str">
        <f t="shared" si="1"/>
        <v>/paket/ablieferung/ordnungssystem/ordnungssystemposition/dossier/titel</v>
      </c>
    </row>
    <row r="66" spans="1:7" ht="16" x14ac:dyDescent="0.25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si="9"/>
        <v>#VALUE!</v>
      </c>
      <c r="G66" t="str">
        <f t="shared" si="1"/>
        <v>/paket/ablieferung/ordnungssystem/ordnungssystemposition/dossier/inhalt</v>
      </c>
    </row>
    <row r="67" spans="1:7" ht="16" x14ac:dyDescent="0.25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si="9"/>
        <v>#VALUE!</v>
      </c>
      <c r="G67" t="str">
        <f t="shared" si="1"/>
        <v>/paket/ablieferung/ordnungssystem/ordnungssystemposition/dossier/formInhalt</v>
      </c>
    </row>
    <row r="68" spans="1:7" ht="16" x14ac:dyDescent="0.25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si="9"/>
        <v>#VALUE!</v>
      </c>
      <c r="G68" t="str">
        <f t="shared" si="1"/>
        <v>/paket/ablieferung/ordnungssystem/ordnungssystemposition/dossier/erscheinungsform</v>
      </c>
    </row>
    <row r="69" spans="1:7" ht="16" x14ac:dyDescent="0.25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si="9"/>
        <v>#VALUE!</v>
      </c>
      <c r="G69" t="str">
        <f t="shared" si="1"/>
        <v>/paket/ablieferung/ordnungssystem/ordnungssystemposition/dossier/federfuehrendeOrganisationseinheit</v>
      </c>
    </row>
    <row r="70" spans="1:7" ht="16" x14ac:dyDescent="0.25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" x14ac:dyDescent="0.25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si="9"/>
        <v>#VALUE!</v>
      </c>
      <c r="G71" t="str">
        <f t="shared" si="13"/>
        <v>/paket/ablieferung/ordnungssystem/ordnungssystemposition/dossier/entstehungszeitraum/bis/datum</v>
      </c>
    </row>
    <row r="72" spans="1:7" ht="16" x14ac:dyDescent="0.25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si="9"/>
        <v>#VALUE!</v>
      </c>
      <c r="G72" t="str">
        <f t="shared" si="13"/>
        <v>/paket/ablieferung/ordnungssystem/ordnungssystemposition/dossier/entstehungszeitraumAnmerkung</v>
      </c>
    </row>
    <row r="73" spans="1:7" ht="16" x14ac:dyDescent="0.25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" x14ac:dyDescent="0.25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si="14"/>
        <v>#VALUE!</v>
      </c>
      <c r="G74" t="str">
        <f t="shared" si="13"/>
        <v>/paket/ablieferung/ordnungssystem/ordnungssystemposition/dossier/datenschutz</v>
      </c>
    </row>
    <row r="75" spans="1:7" ht="16" x14ac:dyDescent="0.25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si="14"/>
        <v>#VALUE!</v>
      </c>
      <c r="G75" t="str">
        <f t="shared" si="13"/>
        <v>/paket/ablieferung/ordnungssystem/ordnungssystemposition/dossier/oeffentlichkeitsstatus</v>
      </c>
    </row>
    <row r="76" spans="1:7" ht="16" x14ac:dyDescent="0.25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si="14"/>
        <v>#VALUE!</v>
      </c>
      <c r="G76" t="str">
        <f t="shared" si="13"/>
        <v>/paket/ablieferung/ordnungssystem/ordnungssystemposition/dossier/oeffentlichkeitsstatusBegruendung</v>
      </c>
    </row>
    <row r="77" spans="1:7" ht="16" x14ac:dyDescent="0.25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si="14"/>
        <v>#VALUE!</v>
      </c>
      <c r="G77" t="str">
        <f t="shared" si="13"/>
        <v>/paket/ablieferung/ordnungssystem/ordnungssystemposition/dossier/sonstigeBestimmungen</v>
      </c>
    </row>
    <row r="78" spans="1:7" ht="16" x14ac:dyDescent="0.25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si="14"/>
        <v>#VALUE!</v>
      </c>
      <c r="G78" t="str">
        <f t="shared" si="13"/>
        <v>/paket/ablieferung/ordnungssystem/ordnungssystemposition/dossier/bemerkung</v>
      </c>
    </row>
    <row r="79" spans="1:7" ht="16" x14ac:dyDescent="0.25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si="14"/>
        <v>#VALUE!</v>
      </c>
      <c r="G79" t="str">
        <f t="shared" si="13"/>
        <v>/paket/ablieferung/ordnungssystem/ordnungssystemposition/dossier/zusatzDaten</v>
      </c>
    </row>
    <row r="80" spans="1:7" ht="16" x14ac:dyDescent="0.25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si="14"/>
        <v>#VALUE!</v>
      </c>
      <c r="G80" t="str">
        <f t="shared" si="13"/>
        <v>/paket/ablieferung/ordnungssystem/ordnungssystemposition/dossier/aktenzeichen</v>
      </c>
    </row>
    <row r="81" spans="1:7" ht="16" x14ac:dyDescent="0.25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si="14"/>
        <v>#VALUE!</v>
      </c>
      <c r="G81" t="str">
        <f t="shared" si="13"/>
        <v>/paket/ablieferung/ordnungssystem/ordnungssystemposition/dossier/eroeffnungsdatum</v>
      </c>
    </row>
    <row r="82" spans="1:7" ht="16" x14ac:dyDescent="0.25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si="14"/>
        <v>#VALUE!</v>
      </c>
      <c r="G82" t="str">
        <f t="shared" si="13"/>
        <v>/paket/ablieferung/ordnungssystem/ordnungssystemposition/dossier/abschlussdatum</v>
      </c>
    </row>
    <row r="83" spans="1:7" ht="16" x14ac:dyDescent="0.25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si="14"/>
        <v>#VALUE!</v>
      </c>
      <c r="G83" t="str">
        <f t="shared" si="13"/>
        <v>/paket/ablieferung/ordnungssystem/ordnungssystemposition/dossier/vorgang</v>
      </c>
    </row>
    <row r="84" spans="1:7" ht="16" x14ac:dyDescent="0.25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si="14"/>
        <v>#VALUE!</v>
      </c>
      <c r="G84" t="str">
        <f t="shared" si="13"/>
        <v>/paket/ablieferung/ordnungssystem/ordnungssystemposition/dossier/schutzfristenkategorie</v>
      </c>
    </row>
    <row r="85" spans="1:7" ht="16" x14ac:dyDescent="0.25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si="14"/>
        <v>#VALUE!</v>
      </c>
      <c r="G85" t="str">
        <f t="shared" si="13"/>
        <v>/paket/ablieferung/ordnungssystem/ordnungssystemposition/dossier/schutzfrist</v>
      </c>
    </row>
    <row r="86" spans="1:7" ht="16" x14ac:dyDescent="0.25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si="14"/>
        <v>#VALUE!</v>
      </c>
      <c r="G86" t="str">
        <f t="shared" si="13"/>
        <v>/paket/ablieferung/ordnungssystem/ordnungssystemposition/dossier/schutzfristenBegruendung</v>
      </c>
    </row>
    <row r="87" spans="1:7" ht="16" x14ac:dyDescent="0.25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si="14"/>
        <v>#VALUE!</v>
      </c>
      <c r="G87" t="str">
        <f t="shared" si="13"/>
        <v>/paket/ablieferung/ordnungssystem/ordnungssystemposition/dossier/dossier</v>
      </c>
    </row>
    <row r="88" spans="1:7" ht="16" x14ac:dyDescent="0.25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si="14"/>
        <v>#VALUE!</v>
      </c>
      <c r="G88" t="str">
        <f t="shared" si="13"/>
        <v>/paket/ablieferung/ordnungssystem/ordnungssystemposition/dossier/mappe</v>
      </c>
    </row>
    <row r="89" spans="1:7" ht="16" x14ac:dyDescent="0.25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si="14"/>
        <v>#VALUE!</v>
      </c>
      <c r="G89" t="str">
        <f t="shared" si="13"/>
        <v>/paket/ablieferung/ordnungssystem/ordnungssystemposition/dossier/dokument</v>
      </c>
    </row>
    <row r="90" spans="1:7" ht="16" x14ac:dyDescent="0.25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si="14"/>
        <v>#VALUE!</v>
      </c>
      <c r="G90" t="str">
        <f t="shared" si="13"/>
        <v>/paket/ablieferung/ordnungssystem/ordnungssystemposition/dossier/archivischeNotiz</v>
      </c>
    </row>
    <row r="91" spans="1:7" ht="16" x14ac:dyDescent="0.25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si="14"/>
        <v>#VALUE!</v>
      </c>
      <c r="G91" t="str">
        <f t="shared" si="13"/>
        <v>/paket/ablieferung/ordnungssystem/ordnungssystemposition/dossier/aktenzeichen</v>
      </c>
    </row>
    <row r="92" spans="1:7" ht="16" x14ac:dyDescent="0.25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si="14"/>
        <v>#VALUE!</v>
      </c>
      <c r="G92" t="str">
        <f t="shared" si="13"/>
        <v>/paket/ablieferung/ordnungssystem/ordnungssystemposition/dossier/schutzfristenkategorie</v>
      </c>
    </row>
    <row r="93" spans="1:7" ht="16" x14ac:dyDescent="0.25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si="14"/>
        <v>#VALUE!</v>
      </c>
      <c r="G93" t="str">
        <f t="shared" si="13"/>
        <v>/paket/ablieferung/ordnungssystem/ordnungssystemposition/dossier/schutzfrist</v>
      </c>
    </row>
    <row r="94" spans="1:7" ht="16" x14ac:dyDescent="0.25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si="14"/>
        <v>#VALUE!</v>
      </c>
      <c r="G94" t="str">
        <f t="shared" si="13"/>
        <v>/paket/ablieferung/ordnungssystem/ordnungssystemposition/dossier/schutzfristenBegruendung</v>
      </c>
    </row>
    <row r="95" spans="1:7" ht="16" x14ac:dyDescent="0.25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si="14"/>
        <v>#VALUE!</v>
      </c>
      <c r="G95" t="str">
        <f t="shared" si="13"/>
        <v>/paket/ablieferung/ordnungssystem/ordnungssystemposition/dossier/dossier</v>
      </c>
    </row>
    <row r="96" spans="1:7" ht="16" x14ac:dyDescent="0.25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si="14"/>
        <v>#VALUE!</v>
      </c>
      <c r="G96" t="str">
        <f t="shared" si="13"/>
        <v>/paket/ablieferung/ordnungssystem/ordnungssystemposition/dossier/mappe</v>
      </c>
    </row>
    <row r="97" spans="1:7" ht="16" x14ac:dyDescent="0.25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si="14"/>
        <v>#VALUE!</v>
      </c>
      <c r="G97" t="str">
        <f t="shared" si="13"/>
        <v>/paket/ablieferung/ordnungssystem/ordnungssystemposition/dossier/dokument</v>
      </c>
    </row>
    <row r="98" spans="1:7" ht="16" x14ac:dyDescent="0.25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si="14"/>
        <v>#VALUE!</v>
      </c>
      <c r="G98" t="str">
        <f t="shared" si="13"/>
        <v>/paket/ablieferung/ordnungssystem/ordnungssystemposition/dossier/dateiRef</v>
      </c>
    </row>
    <row r="99" spans="1:7" ht="16" x14ac:dyDescent="0.25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si="14"/>
        <v>#VALUE!</v>
      </c>
      <c r="G99" t="str">
        <f t="shared" si="13"/>
        <v>/paket/ablieferung/ordnungssystem/ordnungssystemposition/dossier/archivischeNotiz</v>
      </c>
    </row>
    <row r="100" spans="1:7" ht="16" x14ac:dyDescent="0.25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si="14"/>
        <v>#VALUE!</v>
      </c>
      <c r="G100" t="str">
        <f t="shared" si="13"/>
        <v>/paket/ablieferung/ordnungssystem/ordnungssystemposition/dossier/umfang</v>
      </c>
    </row>
    <row r="101" spans="1:7" ht="16" x14ac:dyDescent="0.25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si="14"/>
        <v>#VALUE!</v>
      </c>
      <c r="G101" t="str">
        <f t="shared" si="13"/>
        <v>/paket/ablieferung/ordnungssystem/ordnungssystemposition/mappe</v>
      </c>
    </row>
    <row r="102" spans="1:7" ht="16" x14ac:dyDescent="0.25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si="14"/>
        <v>#VALUE!</v>
      </c>
      <c r="G102" t="str">
        <f t="shared" si="13"/>
        <v>/paket/ablieferung/ordnungssystem/ordnungssystemposition/archivischeNotiz</v>
      </c>
    </row>
    <row r="103" spans="1:7" ht="16" x14ac:dyDescent="0.25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si="14"/>
        <v>#VALUE!</v>
      </c>
      <c r="G103" t="str">
        <f t="shared" si="13"/>
        <v>/paket/ablieferung/ordnungssystem/ordnungssystemposition/nummer</v>
      </c>
    </row>
    <row r="104" spans="1:7" ht="16" x14ac:dyDescent="0.25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si="14"/>
        <v>#VALUE!</v>
      </c>
      <c r="G104" t="str">
        <f t="shared" si="13"/>
        <v>/paket/ablieferung/ordnungssystem/ordnungssystemposition/titel</v>
      </c>
    </row>
    <row r="105" spans="1:7" ht="16" x14ac:dyDescent="0.25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" x14ac:dyDescent="0.25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si="15"/>
        <v>#VALUE!</v>
      </c>
      <c r="G106" t="str">
        <f t="shared" si="13"/>
        <v>/paket/ablieferung/ordnungssystem/ordnungssystemposition/schutzfrist</v>
      </c>
    </row>
    <row r="107" spans="1:7" ht="16" x14ac:dyDescent="0.25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si="15"/>
        <v>#VALUE!</v>
      </c>
      <c r="G107" t="str">
        <f t="shared" si="13"/>
        <v>/paket/ablieferung/ordnungssystem/ordnungssystemposition/schutzfristenBegruendung</v>
      </c>
    </row>
    <row r="108" spans="1:7" ht="16" x14ac:dyDescent="0.25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si="15"/>
        <v>#VALUE!</v>
      </c>
      <c r="G108" t="str">
        <f t="shared" si="13"/>
        <v>/paket/ablieferung/ordnungssystem/ordnungssystemposition/ordnungssystemposition</v>
      </c>
    </row>
    <row r="109" spans="1:7" ht="16" x14ac:dyDescent="0.25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si="15"/>
        <v>#VALUE!</v>
      </c>
      <c r="G109" t="str">
        <f t="shared" si="13"/>
        <v>/paket/ablieferung/ordnungssystem/ordnungssystemposition/dossier</v>
      </c>
    </row>
    <row r="110" spans="1:7" ht="16" x14ac:dyDescent="0.25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si="15"/>
        <v>#VALUE!</v>
      </c>
      <c r="G110" t="str">
        <f t="shared" si="13"/>
        <v>/paket/ablieferung/ordnungssystem/ordnungssystemposition/mappe</v>
      </c>
    </row>
    <row r="111" spans="1:7" ht="16" x14ac:dyDescent="0.25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si="15"/>
        <v>#VALUE!</v>
      </c>
      <c r="G111" t="str">
        <f t="shared" si="13"/>
        <v>/paket/ablieferung/ordnungssystem/ordnungssystemposition/archivischeNotiz</v>
      </c>
    </row>
    <row r="112" spans="1:7" ht="16" x14ac:dyDescent="0.25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si="15"/>
        <v>#VALUE!</v>
      </c>
      <c r="G112" t="str">
        <f t="shared" si="13"/>
        <v>/paket/ablieferung/ordnungssystem/generation</v>
      </c>
    </row>
    <row r="113" spans="1:7" ht="16" x14ac:dyDescent="0.25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si="15"/>
        <v>#VALUE!</v>
      </c>
      <c r="G113" t="str">
        <f t="shared" si="13"/>
        <v>/paket/ablieferung/ordnungssystem/anwendungszeitraum/von/datum</v>
      </c>
    </row>
    <row r="114" spans="1:7" ht="16" x14ac:dyDescent="0.25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78"/>
  <sheetViews>
    <sheetView workbookViewId="0">
      <selection activeCell="B116" sqref="B116"/>
    </sheetView>
  </sheetViews>
  <sheetFormatPr baseColWidth="10" defaultRowHeight="15" x14ac:dyDescent="0.2"/>
  <cols>
    <col min="1" max="1" width="28" customWidth="1"/>
    <col min="2" max="2" width="23.1640625" bestFit="1" customWidth="1"/>
    <col min="3" max="3" width="36.1640625" bestFit="1" customWidth="1"/>
    <col min="4" max="4" width="10.83203125" bestFit="1" customWidth="1"/>
    <col min="5" max="5" width="57.83203125" bestFit="1" customWidth="1"/>
    <col min="6" max="6" width="82.5" bestFit="1" customWidth="1"/>
    <col min="7" max="7" width="11.33203125" bestFit="1" customWidth="1"/>
  </cols>
  <sheetData>
    <row r="1" spans="1:7" s="3" customFormat="1" x14ac:dyDescent="0.2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2">
      <c r="B2" t="s">
        <v>20</v>
      </c>
      <c r="C2" t="s">
        <v>152</v>
      </c>
      <c r="E2" t="e">
        <f t="shared" ref="E2:E33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2">
      <c r="B3" t="s">
        <v>20</v>
      </c>
      <c r="C3" t="s">
        <v>58</v>
      </c>
      <c r="E3" t="e">
        <f t="shared" si="0"/>
        <v>#VALUE!</v>
      </c>
      <c r="F3" t="str">
        <f t="shared" si="1"/>
        <v>/paket</v>
      </c>
      <c r="G3" t="s">
        <v>269</v>
      </c>
    </row>
    <row r="4" spans="1:7" x14ac:dyDescent="0.2">
      <c r="B4" t="s">
        <v>20</v>
      </c>
      <c r="C4" t="s">
        <v>59</v>
      </c>
      <c r="E4" t="e">
        <f t="shared" si="0"/>
        <v>#VALUE!</v>
      </c>
      <c r="F4" t="str">
        <f t="shared" si="1"/>
        <v>/paket</v>
      </c>
      <c r="G4" t="s">
        <v>269</v>
      </c>
    </row>
    <row r="5" spans="1:7" x14ac:dyDescent="0.2">
      <c r="B5" t="s">
        <v>20</v>
      </c>
      <c r="C5" t="s">
        <v>164</v>
      </c>
      <c r="E5" t="e">
        <f t="shared" si="0"/>
        <v>#VALUE!</v>
      </c>
      <c r="F5" t="str">
        <f t="shared" si="1"/>
        <v>/paket</v>
      </c>
      <c r="G5" t="s">
        <v>269</v>
      </c>
    </row>
    <row r="6" spans="1:7" ht="16" x14ac:dyDescent="0.2">
      <c r="B6" t="s">
        <v>20</v>
      </c>
      <c r="C6" s="10" t="s">
        <v>22</v>
      </c>
      <c r="E6" t="e">
        <f t="shared" si="0"/>
        <v>#VALUE!</v>
      </c>
      <c r="F6" t="str">
        <f t="shared" si="1"/>
        <v>/paket</v>
      </c>
      <c r="G6" t="s">
        <v>269</v>
      </c>
    </row>
    <row r="7" spans="1:7" ht="16" x14ac:dyDescent="0.2">
      <c r="B7" t="s">
        <v>20</v>
      </c>
      <c r="C7" s="11" t="s">
        <v>50</v>
      </c>
      <c r="E7" t="e">
        <f t="shared" si="0"/>
        <v>#VALUE!</v>
      </c>
      <c r="F7" t="str">
        <f t="shared" si="1"/>
        <v>/paket</v>
      </c>
      <c r="G7" t="s">
        <v>269</v>
      </c>
    </row>
    <row r="8" spans="1:7" ht="16" x14ac:dyDescent="0.2">
      <c r="B8" t="s">
        <v>20</v>
      </c>
      <c r="C8" s="12" t="s">
        <v>55</v>
      </c>
      <c r="E8" t="e">
        <f t="shared" si="0"/>
        <v>#VALUE!</v>
      </c>
      <c r="F8" t="str">
        <f t="shared" si="1"/>
        <v>/paket</v>
      </c>
      <c r="G8" t="s">
        <v>269</v>
      </c>
    </row>
    <row r="9" spans="1:7" ht="16" x14ac:dyDescent="0.2">
      <c r="B9" t="s">
        <v>20</v>
      </c>
      <c r="C9" s="13" t="s">
        <v>56</v>
      </c>
      <c r="E9" t="e">
        <f t="shared" si="0"/>
        <v>#VALUE!</v>
      </c>
      <c r="F9" t="str">
        <f t="shared" si="1"/>
        <v>/paket</v>
      </c>
      <c r="G9" t="s">
        <v>269</v>
      </c>
    </row>
    <row r="10" spans="1:7" ht="16" x14ac:dyDescent="0.2">
      <c r="A10" t="str">
        <f>F$6</f>
        <v>/paket</v>
      </c>
      <c r="B10" s="10" t="s">
        <v>22</v>
      </c>
      <c r="C10" t="s">
        <v>165</v>
      </c>
      <c r="E10" t="e">
        <f t="shared" si="0"/>
        <v>#VALUE!</v>
      </c>
      <c r="F10" t="str">
        <f t="shared" si="1"/>
        <v>/paket/ablieferung</v>
      </c>
      <c r="G10" t="s">
        <v>269</v>
      </c>
    </row>
    <row r="11" spans="1:7" ht="16" x14ac:dyDescent="0.2">
      <c r="A11" t="str">
        <f t="shared" ref="A11:A27" si="2">F$6</f>
        <v>/paket</v>
      </c>
      <c r="B11" s="10" t="s">
        <v>22</v>
      </c>
      <c r="C11" t="s">
        <v>60</v>
      </c>
      <c r="E11" t="e">
        <f t="shared" si="0"/>
        <v>#VALUE!</v>
      </c>
      <c r="F11" t="str">
        <f t="shared" si="1"/>
        <v>/paket/ablieferung</v>
      </c>
      <c r="G11" t="s">
        <v>269</v>
      </c>
    </row>
    <row r="12" spans="1:7" ht="16" x14ac:dyDescent="0.2">
      <c r="A12" t="str">
        <f t="shared" si="2"/>
        <v>/paket</v>
      </c>
      <c r="B12" s="10" t="s">
        <v>22</v>
      </c>
      <c r="C12" t="s">
        <v>166</v>
      </c>
      <c r="E12" t="e">
        <f t="shared" si="0"/>
        <v>#VALUE!</v>
      </c>
      <c r="F12" t="str">
        <f t="shared" si="1"/>
        <v>/paket/ablieferung</v>
      </c>
      <c r="G12" t="s">
        <v>269</v>
      </c>
    </row>
    <row r="13" spans="1:7" ht="16" x14ac:dyDescent="0.2">
      <c r="A13" t="str">
        <f t="shared" si="2"/>
        <v>/paket</v>
      </c>
      <c r="B13" s="10" t="s">
        <v>22</v>
      </c>
      <c r="C13" t="s">
        <v>61</v>
      </c>
      <c r="E13" t="e">
        <f t="shared" si="0"/>
        <v>#VALUE!</v>
      </c>
      <c r="F13" t="str">
        <f t="shared" si="1"/>
        <v>/paket/ablieferung</v>
      </c>
      <c r="G13" t="s">
        <v>269</v>
      </c>
    </row>
    <row r="14" spans="1:7" ht="16" x14ac:dyDescent="0.2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si="0"/>
        <v>#VALUE!</v>
      </c>
      <c r="F14" t="str">
        <f t="shared" si="1"/>
        <v>/paket/ablieferung</v>
      </c>
      <c r="G14" t="s">
        <v>269</v>
      </c>
    </row>
    <row r="15" spans="1:7" ht="16" x14ac:dyDescent="0.2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si="0"/>
        <v>#VALUE!</v>
      </c>
      <c r="F15" t="str">
        <f t="shared" si="1"/>
        <v>/paket/ablieferung</v>
      </c>
      <c r="G15" t="s">
        <v>269</v>
      </c>
    </row>
    <row r="16" spans="1:7" ht="16" x14ac:dyDescent="0.2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si="0"/>
        <v>#VALUE!</v>
      </c>
      <c r="F16" t="str">
        <f t="shared" si="1"/>
        <v>/paket/ablieferung</v>
      </c>
      <c r="G16" t="s">
        <v>269</v>
      </c>
    </row>
    <row r="17" spans="1:7" ht="16" x14ac:dyDescent="0.2">
      <c r="A17" t="str">
        <f t="shared" si="2"/>
        <v>/paket</v>
      </c>
      <c r="B17" s="10" t="s">
        <v>22</v>
      </c>
      <c r="C17" t="s">
        <v>167</v>
      </c>
      <c r="E17" t="e">
        <f t="shared" si="0"/>
        <v>#VALUE!</v>
      </c>
      <c r="F17" t="str">
        <f t="shared" si="1"/>
        <v>/paket/ablieferung</v>
      </c>
      <c r="G17" t="s">
        <v>269</v>
      </c>
    </row>
    <row r="18" spans="1:7" ht="16" x14ac:dyDescent="0.2">
      <c r="A18" t="str">
        <f t="shared" si="2"/>
        <v>/paket</v>
      </c>
      <c r="B18" s="10" t="s">
        <v>22</v>
      </c>
      <c r="C18" t="s">
        <v>168</v>
      </c>
      <c r="E18" t="e">
        <f t="shared" si="0"/>
        <v>#VALUE!</v>
      </c>
      <c r="F18" t="str">
        <f t="shared" si="1"/>
        <v>/paket/ablieferung</v>
      </c>
      <c r="G18" t="s">
        <v>269</v>
      </c>
    </row>
    <row r="19" spans="1:7" ht="16" x14ac:dyDescent="0.2">
      <c r="A19" t="str">
        <f t="shared" si="2"/>
        <v>/paket</v>
      </c>
      <c r="B19" s="10" t="s">
        <v>22</v>
      </c>
      <c r="C19" t="s">
        <v>169</v>
      </c>
      <c r="E19" t="e">
        <f t="shared" si="0"/>
        <v>#VALUE!</v>
      </c>
      <c r="F19" t="str">
        <f t="shared" si="1"/>
        <v>/paket/ablieferung</v>
      </c>
      <c r="G19" t="s">
        <v>269</v>
      </c>
    </row>
    <row r="20" spans="1:7" ht="16" x14ac:dyDescent="0.2">
      <c r="A20" t="str">
        <f t="shared" si="2"/>
        <v>/paket</v>
      </c>
      <c r="B20" s="10" t="s">
        <v>22</v>
      </c>
      <c r="C20" t="s">
        <v>170</v>
      </c>
      <c r="E20" t="e">
        <f t="shared" si="0"/>
        <v>#VALUE!</v>
      </c>
      <c r="F20" t="str">
        <f t="shared" si="1"/>
        <v>/paket/ablieferung</v>
      </c>
      <c r="G20" t="s">
        <v>269</v>
      </c>
    </row>
    <row r="21" spans="1:7" ht="16" x14ac:dyDescent="0.2">
      <c r="A21" t="str">
        <f t="shared" si="2"/>
        <v>/paket</v>
      </c>
      <c r="B21" s="10" t="s">
        <v>22</v>
      </c>
      <c r="C21" t="s">
        <v>63</v>
      </c>
      <c r="E21" t="e">
        <f t="shared" si="0"/>
        <v>#VALUE!</v>
      </c>
      <c r="F21" t="str">
        <f t="shared" si="1"/>
        <v>/paket/ablieferung</v>
      </c>
      <c r="G21" t="s">
        <v>269</v>
      </c>
    </row>
    <row r="22" spans="1:7" ht="16" x14ac:dyDescent="0.2">
      <c r="A22" t="str">
        <f t="shared" si="2"/>
        <v>/paket</v>
      </c>
      <c r="B22" s="10" t="s">
        <v>22</v>
      </c>
      <c r="C22" t="s">
        <v>64</v>
      </c>
      <c r="E22" t="e">
        <f t="shared" si="0"/>
        <v>#VALUE!</v>
      </c>
      <c r="F22" t="str">
        <f t="shared" si="1"/>
        <v>/paket/ablieferung</v>
      </c>
      <c r="G22" t="s">
        <v>269</v>
      </c>
    </row>
    <row r="23" spans="1:7" ht="16" x14ac:dyDescent="0.2">
      <c r="A23" t="str">
        <f t="shared" si="2"/>
        <v>/paket</v>
      </c>
      <c r="B23" s="10" t="s">
        <v>22</v>
      </c>
      <c r="C23" t="s">
        <v>59</v>
      </c>
      <c r="E23" t="e">
        <f t="shared" si="0"/>
        <v>#VALUE!</v>
      </c>
      <c r="F23" t="str">
        <f t="shared" si="1"/>
        <v>/paket/ablieferung</v>
      </c>
      <c r="G23" t="s">
        <v>269</v>
      </c>
    </row>
    <row r="24" spans="1:7" ht="16" x14ac:dyDescent="0.2">
      <c r="A24" t="str">
        <f t="shared" si="2"/>
        <v>/paket</v>
      </c>
      <c r="B24" s="10" t="s">
        <v>22</v>
      </c>
      <c r="C24" s="14" t="s">
        <v>26</v>
      </c>
      <c r="E24" t="e">
        <f t="shared" si="0"/>
        <v>#VALUE!</v>
      </c>
      <c r="F24" t="str">
        <f t="shared" si="1"/>
        <v>/paket/ablieferung</v>
      </c>
      <c r="G24" t="s">
        <v>269</v>
      </c>
    </row>
    <row r="25" spans="1:7" ht="16" x14ac:dyDescent="0.2">
      <c r="A25" t="str">
        <f t="shared" si="2"/>
        <v>/paket</v>
      </c>
      <c r="B25" s="10" t="s">
        <v>22</v>
      </c>
      <c r="C25" s="15" t="s">
        <v>29</v>
      </c>
      <c r="E25" t="e">
        <f t="shared" si="0"/>
        <v>#VALUE!</v>
      </c>
      <c r="F25" t="str">
        <f t="shared" si="1"/>
        <v>/paket/ablieferung</v>
      </c>
      <c r="G25" t="s">
        <v>269</v>
      </c>
    </row>
    <row r="26" spans="1:7" ht="16" x14ac:dyDescent="0.2">
      <c r="A26" t="str">
        <f t="shared" si="2"/>
        <v>/paket</v>
      </c>
      <c r="B26" s="10" t="s">
        <v>22</v>
      </c>
      <c r="C26" s="16" t="s">
        <v>40</v>
      </c>
      <c r="E26" t="e">
        <f t="shared" si="0"/>
        <v>#VALUE!</v>
      </c>
      <c r="F26" t="str">
        <f t="shared" si="1"/>
        <v>/paket/ablieferung</v>
      </c>
      <c r="G26" t="s">
        <v>269</v>
      </c>
    </row>
    <row r="27" spans="1:7" ht="16" x14ac:dyDescent="0.2">
      <c r="A27" t="str">
        <f t="shared" si="2"/>
        <v>/paket</v>
      </c>
      <c r="B27" s="10" t="s">
        <v>22</v>
      </c>
      <c r="C27" s="17" t="s">
        <v>56</v>
      </c>
      <c r="E27" t="e">
        <f t="shared" si="0"/>
        <v>#VALUE!</v>
      </c>
      <c r="F27" t="str">
        <f t="shared" si="1"/>
        <v>/paket/ablieferung</v>
      </c>
      <c r="G27" t="s">
        <v>269</v>
      </c>
    </row>
    <row r="28" spans="1:7" ht="16" x14ac:dyDescent="0.2">
      <c r="A28" t="str">
        <f>F$7</f>
        <v>/paket</v>
      </c>
      <c r="B28" s="11" t="s">
        <v>50</v>
      </c>
      <c r="C28" s="18" t="s">
        <v>51</v>
      </c>
      <c r="E28" t="e">
        <f t="shared" si="0"/>
        <v>#VALUE!</v>
      </c>
      <c r="F28" t="str">
        <f t="shared" si="1"/>
        <v>/paket/inhaltsverzeichnis</v>
      </c>
      <c r="G28" t="s">
        <v>269</v>
      </c>
    </row>
    <row r="29" spans="1:7" ht="16" x14ac:dyDescent="0.2">
      <c r="A29" t="str">
        <f>F$7</f>
        <v>/paket</v>
      </c>
      <c r="B29" s="11" t="s">
        <v>50</v>
      </c>
      <c r="C29" s="19" t="s">
        <v>53</v>
      </c>
      <c r="E29" t="e">
        <f t="shared" si="0"/>
        <v>#VALUE!</v>
      </c>
      <c r="F29" t="str">
        <f t="shared" si="1"/>
        <v>/paket/inhaltsverzeichnis</v>
      </c>
      <c r="G29" t="s">
        <v>269</v>
      </c>
    </row>
    <row r="30" spans="1:7" x14ac:dyDescent="0.2">
      <c r="A30" t="str">
        <f>F$28</f>
        <v>/paket/inhaltsverzeichnis</v>
      </c>
      <c r="B30" s="18" t="s">
        <v>51</v>
      </c>
      <c r="C30" t="s">
        <v>1</v>
      </c>
      <c r="E30" t="e">
        <f t="shared" si="0"/>
        <v>#VALUE!</v>
      </c>
      <c r="F30" t="str">
        <f t="shared" si="1"/>
        <v>/paket/inhaltsverzeichnis/ordner</v>
      </c>
      <c r="G30" t="s">
        <v>269</v>
      </c>
    </row>
    <row r="31" spans="1:7" x14ac:dyDescent="0.2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si="0"/>
        <v>#VALUE!</v>
      </c>
      <c r="F31" t="str">
        <f t="shared" si="1"/>
        <v>/paket/inhaltsverzeichnis/ordner</v>
      </c>
      <c r="G31" t="s">
        <v>269</v>
      </c>
    </row>
    <row r="32" spans="1:7" x14ac:dyDescent="0.2">
      <c r="A32" t="str">
        <f t="shared" si="4"/>
        <v>/paket/inhaltsverzeichnis</v>
      </c>
      <c r="B32" s="18" t="s">
        <v>51</v>
      </c>
      <c r="C32" t="s">
        <v>51</v>
      </c>
      <c r="E32" t="e">
        <f t="shared" si="0"/>
        <v>#VALUE!</v>
      </c>
      <c r="F32" t="str">
        <f t="shared" si="1"/>
        <v>/paket/inhaltsverzeichnis/ordner</v>
      </c>
      <c r="G32" t="s">
        <v>269</v>
      </c>
    </row>
    <row r="33" spans="1:7" x14ac:dyDescent="0.2">
      <c r="A33" t="str">
        <f t="shared" si="4"/>
        <v>/paket/inhaltsverzeichnis</v>
      </c>
      <c r="B33" s="18" t="s">
        <v>51</v>
      </c>
      <c r="C33" t="s">
        <v>53</v>
      </c>
      <c r="E33" t="e">
        <f t="shared" si="0"/>
        <v>#VALUE!</v>
      </c>
      <c r="F33" t="str">
        <f t="shared" si="1"/>
        <v>/paket/inhaltsverzeichnis/ordner</v>
      </c>
      <c r="G33" t="s">
        <v>269</v>
      </c>
    </row>
    <row r="34" spans="1:7" x14ac:dyDescent="0.2">
      <c r="A34" t="str">
        <f>F$29</f>
        <v>/paket/inhaltsverzeichnis</v>
      </c>
      <c r="B34" s="19" t="s">
        <v>53</v>
      </c>
      <c r="C34" t="s">
        <v>154</v>
      </c>
      <c r="E34" t="e">
        <f t="shared" ref="E34:E65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2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si="5"/>
        <v>#VALUE!</v>
      </c>
      <c r="F35" t="str">
        <f t="shared" si="6"/>
        <v>/paket/inhaltsverzeichnis/datei</v>
      </c>
      <c r="G35" t="s">
        <v>269</v>
      </c>
    </row>
    <row r="36" spans="1:7" x14ac:dyDescent="0.2">
      <c r="A36" t="str">
        <f t="shared" si="7"/>
        <v>/paket/inhaltsverzeichnis</v>
      </c>
      <c r="B36" s="19" t="s">
        <v>53</v>
      </c>
      <c r="C36" t="s">
        <v>92</v>
      </c>
      <c r="E36" t="e">
        <f t="shared" si="5"/>
        <v>#VALUE!</v>
      </c>
      <c r="F36" t="str">
        <f t="shared" si="6"/>
        <v>/paket/inhaltsverzeichnis/datei</v>
      </c>
      <c r="G36" t="s">
        <v>269</v>
      </c>
    </row>
    <row r="37" spans="1:7" x14ac:dyDescent="0.2">
      <c r="A37" t="str">
        <f t="shared" si="7"/>
        <v>/paket/inhaltsverzeichnis</v>
      </c>
      <c r="B37" s="19" t="s">
        <v>53</v>
      </c>
      <c r="C37" t="s">
        <v>93</v>
      </c>
      <c r="E37" t="e">
        <f t="shared" si="5"/>
        <v>#VALUE!</v>
      </c>
      <c r="F37" t="str">
        <f t="shared" si="6"/>
        <v>/paket/inhaltsverzeichnis/datei</v>
      </c>
      <c r="G37" t="s">
        <v>269</v>
      </c>
    </row>
    <row r="38" spans="1:7" x14ac:dyDescent="0.2">
      <c r="A38" t="str">
        <f t="shared" si="7"/>
        <v>/paket/inhaltsverzeichnis</v>
      </c>
      <c r="B38" s="19" t="s">
        <v>53</v>
      </c>
      <c r="C38" t="s">
        <v>94</v>
      </c>
      <c r="E38" t="e">
        <f t="shared" si="5"/>
        <v>#VALUE!</v>
      </c>
      <c r="F38" t="str">
        <f t="shared" si="6"/>
        <v>/paket/inhaltsverzeichnis/datei</v>
      </c>
      <c r="G38" t="s">
        <v>269</v>
      </c>
    </row>
    <row r="39" spans="1:7" x14ac:dyDescent="0.2">
      <c r="A39" t="str">
        <f t="shared" si="7"/>
        <v>/paket/inhaltsverzeichnis</v>
      </c>
      <c r="B39" s="19" t="s">
        <v>53</v>
      </c>
      <c r="C39" t="s">
        <v>95</v>
      </c>
      <c r="E39" t="e">
        <f t="shared" si="5"/>
        <v>#VALUE!</v>
      </c>
      <c r="F39" t="str">
        <f t="shared" si="6"/>
        <v>/paket/inhaltsverzeichnis/datei</v>
      </c>
      <c r="G39" t="s">
        <v>269</v>
      </c>
    </row>
    <row r="40" spans="1:7" x14ac:dyDescent="0.2">
      <c r="A40" t="str">
        <f t="shared" si="7"/>
        <v>/paket/inhaltsverzeichnis</v>
      </c>
      <c r="B40" s="19" t="s">
        <v>53</v>
      </c>
      <c r="C40" s="17" t="s">
        <v>56</v>
      </c>
      <c r="E40" t="e">
        <f t="shared" si="5"/>
        <v>#VALUE!</v>
      </c>
      <c r="F40" t="str">
        <f t="shared" si="6"/>
        <v>/paket/inhaltsverzeichnis/datei</v>
      </c>
      <c r="G40" t="s">
        <v>269</v>
      </c>
    </row>
    <row r="41" spans="1:7" x14ac:dyDescent="0.2">
      <c r="A41" t="str">
        <f>F$24</f>
        <v>/paket/ablieferung</v>
      </c>
      <c r="B41" s="14" t="s">
        <v>26</v>
      </c>
      <c r="C41" t="s">
        <v>264</v>
      </c>
      <c r="E41" t="e">
        <f t="shared" si="5"/>
        <v>#VALUE!</v>
      </c>
      <c r="F41" t="str">
        <f t="shared" si="6"/>
        <v>/paket/ablieferung/provenienz</v>
      </c>
      <c r="G41" t="s">
        <v>269</v>
      </c>
    </row>
    <row r="42" spans="1:7" x14ac:dyDescent="0.2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si="5"/>
        <v>#VALUE!</v>
      </c>
      <c r="F42" t="str">
        <f t="shared" si="6"/>
        <v>/paket/ablieferung/provenienz</v>
      </c>
      <c r="G42" t="s">
        <v>269</v>
      </c>
    </row>
    <row r="43" spans="1:7" x14ac:dyDescent="0.2">
      <c r="A43" t="str">
        <f t="shared" si="8"/>
        <v>/paket/ablieferung</v>
      </c>
      <c r="B43" s="14" t="s">
        <v>26</v>
      </c>
      <c r="C43" t="s">
        <v>67</v>
      </c>
      <c r="E43" t="e">
        <f t="shared" si="5"/>
        <v>#VALUE!</v>
      </c>
      <c r="F43" t="str">
        <f t="shared" si="6"/>
        <v>/paket/ablieferung/provenienz</v>
      </c>
      <c r="G43" t="s">
        <v>269</v>
      </c>
    </row>
    <row r="44" spans="1:7" x14ac:dyDescent="0.2">
      <c r="A44" t="str">
        <f t="shared" si="8"/>
        <v>/paket/ablieferung</v>
      </c>
      <c r="B44" s="14" t="s">
        <v>26</v>
      </c>
      <c r="C44" t="s">
        <v>171</v>
      </c>
      <c r="E44" t="e">
        <f t="shared" si="5"/>
        <v>#VALUE!</v>
      </c>
      <c r="F44" t="str">
        <f t="shared" si="6"/>
        <v>/paket/ablieferung/provenienz</v>
      </c>
      <c r="G44" t="s">
        <v>269</v>
      </c>
    </row>
    <row r="45" spans="1:7" x14ac:dyDescent="0.2">
      <c r="A45" t="str">
        <f t="shared" si="8"/>
        <v>/paket/ablieferung</v>
      </c>
      <c r="B45" s="14" t="s">
        <v>26</v>
      </c>
      <c r="C45" t="s">
        <v>172</v>
      </c>
      <c r="E45" t="e">
        <f t="shared" si="5"/>
        <v>#VALUE!</v>
      </c>
      <c r="F45" t="str">
        <f t="shared" si="6"/>
        <v>/paket/ablieferung/provenienz</v>
      </c>
      <c r="G45" t="s">
        <v>269</v>
      </c>
    </row>
    <row r="46" spans="1:7" x14ac:dyDescent="0.2">
      <c r="A46" t="str">
        <f t="shared" si="8"/>
        <v>/paket/ablieferung</v>
      </c>
      <c r="B46" s="14" t="s">
        <v>26</v>
      </c>
      <c r="C46" t="s">
        <v>173</v>
      </c>
      <c r="E46" t="e">
        <f t="shared" si="5"/>
        <v>#VALUE!</v>
      </c>
      <c r="F46" t="str">
        <f t="shared" si="6"/>
        <v>/paket/ablieferung/provenienz</v>
      </c>
      <c r="G46" t="s">
        <v>269</v>
      </c>
    </row>
    <row r="47" spans="1:7" x14ac:dyDescent="0.2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si="5"/>
        <v>#VALUE!</v>
      </c>
      <c r="F47" t="str">
        <f t="shared" si="6"/>
        <v>/paket/ablieferung/provenienz</v>
      </c>
      <c r="G47" t="s">
        <v>269</v>
      </c>
    </row>
    <row r="48" spans="1:7" x14ac:dyDescent="0.2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si="5"/>
        <v>#VALUE!</v>
      </c>
      <c r="F48" t="str">
        <f t="shared" si="6"/>
        <v>/paket/ablieferung/provenienz</v>
      </c>
      <c r="G48" t="s">
        <v>269</v>
      </c>
    </row>
    <row r="49" spans="1:7" x14ac:dyDescent="0.2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si="5"/>
        <v>#VALUE!</v>
      </c>
      <c r="F49" t="str">
        <f t="shared" si="6"/>
        <v>/paket/ablieferung/provenienz</v>
      </c>
      <c r="G49" t="s">
        <v>269</v>
      </c>
    </row>
    <row r="50" spans="1:7" x14ac:dyDescent="0.2">
      <c r="A50" t="str">
        <f t="shared" si="8"/>
        <v>/paket/ablieferung</v>
      </c>
      <c r="B50" s="14" t="s">
        <v>26</v>
      </c>
      <c r="C50" t="s">
        <v>69</v>
      </c>
      <c r="E50" t="e">
        <f t="shared" si="5"/>
        <v>#VALUE!</v>
      </c>
      <c r="F50" t="str">
        <f t="shared" si="6"/>
        <v>/paket/ablieferung/provenienz</v>
      </c>
      <c r="G50" t="s">
        <v>269</v>
      </c>
    </row>
    <row r="51" spans="1:7" x14ac:dyDescent="0.2">
      <c r="A51" t="str">
        <f t="shared" si="8"/>
        <v>/paket/ablieferung</v>
      </c>
      <c r="B51" s="14" t="s">
        <v>26</v>
      </c>
      <c r="C51" t="s">
        <v>64</v>
      </c>
      <c r="E51" t="e">
        <f t="shared" si="5"/>
        <v>#VALUE!</v>
      </c>
      <c r="F51" t="str">
        <f t="shared" si="6"/>
        <v>/paket/ablieferung/provenienz</v>
      </c>
      <c r="G51" t="s">
        <v>269</v>
      </c>
    </row>
    <row r="52" spans="1:7" x14ac:dyDescent="0.2">
      <c r="A52" t="str">
        <f t="shared" si="8"/>
        <v>/paket/ablieferung</v>
      </c>
      <c r="B52" s="14" t="s">
        <v>26</v>
      </c>
      <c r="C52" s="17" t="s">
        <v>56</v>
      </c>
      <c r="E52" t="e">
        <f t="shared" si="5"/>
        <v>#VALUE!</v>
      </c>
      <c r="F52" t="str">
        <f t="shared" si="6"/>
        <v>/paket/ablieferung/provenienz</v>
      </c>
      <c r="G52" t="s">
        <v>269</v>
      </c>
    </row>
    <row r="53" spans="1:7" x14ac:dyDescent="0.2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si="5"/>
        <v>#VALUE!</v>
      </c>
      <c r="F53" t="str">
        <f t="shared" si="6"/>
        <v>/paket/ablieferung/ordnungssystem</v>
      </c>
      <c r="G53" t="s">
        <v>269</v>
      </c>
    </row>
    <row r="54" spans="1:7" x14ac:dyDescent="0.2">
      <c r="A54" t="str">
        <f t="shared" si="10"/>
        <v>/paket/ablieferung</v>
      </c>
      <c r="B54" s="15" t="s">
        <v>29</v>
      </c>
      <c r="C54" t="s">
        <v>70</v>
      </c>
      <c r="E54" t="e">
        <f t="shared" si="5"/>
        <v>#VALUE!</v>
      </c>
      <c r="F54" t="str">
        <f t="shared" si="6"/>
        <v>/paket/ablieferung/ordnungssystem</v>
      </c>
      <c r="G54" t="s">
        <v>269</v>
      </c>
    </row>
    <row r="55" spans="1:7" x14ac:dyDescent="0.2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si="5"/>
        <v>#VALUE!</v>
      </c>
      <c r="F55" t="str">
        <f t="shared" si="6"/>
        <v>/paket/ablieferung/ordnungssystem</v>
      </c>
      <c r="G55" t="s">
        <v>269</v>
      </c>
    </row>
    <row r="56" spans="1:7" x14ac:dyDescent="0.2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si="5"/>
        <v>#VALUE!</v>
      </c>
      <c r="F56" t="str">
        <f t="shared" si="6"/>
        <v>/paket/ablieferung/ordnungssystem</v>
      </c>
      <c r="G56" t="s">
        <v>269</v>
      </c>
    </row>
    <row r="57" spans="1:7" x14ac:dyDescent="0.2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si="5"/>
        <v>#VALUE!</v>
      </c>
      <c r="F57" t="str">
        <f t="shared" si="6"/>
        <v>/paket/ablieferung/ordnungssystem</v>
      </c>
      <c r="G57" t="s">
        <v>269</v>
      </c>
    </row>
    <row r="58" spans="1:7" x14ac:dyDescent="0.2">
      <c r="A58" t="str">
        <f t="shared" si="10"/>
        <v>/paket/ablieferung</v>
      </c>
      <c r="B58" s="15" t="s">
        <v>29</v>
      </c>
      <c r="C58" t="s">
        <v>72</v>
      </c>
      <c r="E58" t="e">
        <f t="shared" si="5"/>
        <v>#VALUE!</v>
      </c>
      <c r="F58" t="str">
        <f t="shared" si="6"/>
        <v>/paket/ablieferung/ordnungssystem</v>
      </c>
      <c r="G58" t="s">
        <v>269</v>
      </c>
    </row>
    <row r="59" spans="1:7" x14ac:dyDescent="0.2">
      <c r="A59" t="str">
        <f t="shared" si="10"/>
        <v>/paket/ablieferung</v>
      </c>
      <c r="B59" s="15" t="s">
        <v>29</v>
      </c>
      <c r="C59" t="s">
        <v>64</v>
      </c>
      <c r="E59" t="e">
        <f t="shared" si="5"/>
        <v>#VALUE!</v>
      </c>
      <c r="F59" t="str">
        <f t="shared" si="6"/>
        <v>/paket/ablieferung/ordnungssystem</v>
      </c>
      <c r="G59" t="s">
        <v>269</v>
      </c>
    </row>
    <row r="60" spans="1:7" x14ac:dyDescent="0.2">
      <c r="A60" t="str">
        <f t="shared" si="10"/>
        <v>/paket/ablieferung</v>
      </c>
      <c r="B60" s="15" t="s">
        <v>29</v>
      </c>
      <c r="C60" t="s">
        <v>59</v>
      </c>
      <c r="E60" t="e">
        <f t="shared" si="5"/>
        <v>#VALUE!</v>
      </c>
      <c r="F60" t="str">
        <f t="shared" si="6"/>
        <v>/paket/ablieferung/ordnungssystem</v>
      </c>
      <c r="G60" t="s">
        <v>269</v>
      </c>
    </row>
    <row r="61" spans="1:7" x14ac:dyDescent="0.2">
      <c r="A61" t="str">
        <f t="shared" si="10"/>
        <v>/paket/ablieferung</v>
      </c>
      <c r="B61" s="15" t="s">
        <v>29</v>
      </c>
      <c r="C61" s="20" t="s">
        <v>32</v>
      </c>
      <c r="E61" t="e">
        <f t="shared" si="5"/>
        <v>#VALUE!</v>
      </c>
      <c r="F61" t="str">
        <f t="shared" si="6"/>
        <v>/paket/ablieferung/ordnungssystem</v>
      </c>
      <c r="G61" t="s">
        <v>269</v>
      </c>
    </row>
    <row r="62" spans="1:7" x14ac:dyDescent="0.2">
      <c r="A62" t="str">
        <f t="shared" si="10"/>
        <v>/paket/ablieferung</v>
      </c>
      <c r="B62" s="15" t="s">
        <v>29</v>
      </c>
      <c r="C62" s="16" t="s">
        <v>40</v>
      </c>
      <c r="E62" t="e">
        <f t="shared" si="5"/>
        <v>#VALUE!</v>
      </c>
      <c r="F62" t="str">
        <f t="shared" si="6"/>
        <v>/paket/ablieferung/ordnungssystem</v>
      </c>
      <c r="G62" t="s">
        <v>269</v>
      </c>
    </row>
    <row r="63" spans="1:7" x14ac:dyDescent="0.2">
      <c r="A63" t="str">
        <f t="shared" si="10"/>
        <v>/paket/ablieferung</v>
      </c>
      <c r="B63" s="15" t="s">
        <v>29</v>
      </c>
      <c r="C63" s="17" t="s">
        <v>56</v>
      </c>
      <c r="E63" t="e">
        <f t="shared" si="5"/>
        <v>#VALUE!</v>
      </c>
      <c r="F63" t="str">
        <f t="shared" si="6"/>
        <v>/paket/ablieferung/ordnungssystem</v>
      </c>
      <c r="G63" t="s">
        <v>269</v>
      </c>
    </row>
    <row r="64" spans="1:7" x14ac:dyDescent="0.2">
      <c r="A64" t="str">
        <f>F$61</f>
        <v>/paket/ablieferung/ordnungssystem</v>
      </c>
      <c r="B64" s="20" t="s">
        <v>32</v>
      </c>
      <c r="C64" t="s">
        <v>154</v>
      </c>
      <c r="E64" t="e">
        <f t="shared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2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2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2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2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2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2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2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2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2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2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2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2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2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2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2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2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2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2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2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2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2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2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2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2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2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2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2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2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2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2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2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2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2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2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2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2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2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2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2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2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2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2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2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2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2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2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2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2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2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2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2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2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2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2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2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2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2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2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2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2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2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2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2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2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2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2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2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2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2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2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2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2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2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2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2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2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2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2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2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2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2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2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2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2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2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2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2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2">
      <c r="B152" s="16" t="s">
        <v>40</v>
      </c>
      <c r="C152" t="s">
        <v>154</v>
      </c>
      <c r="E152" t="e">
        <f t="shared" si="20"/>
        <v>#VALUE!</v>
      </c>
      <c r="F152" t="str">
        <f t="shared" si="21"/>
        <v>/mappe</v>
      </c>
    </row>
    <row r="153" spans="1:7" x14ac:dyDescent="0.2">
      <c r="B153" s="16" t="s">
        <v>40</v>
      </c>
      <c r="C153" t="s">
        <v>153</v>
      </c>
      <c r="E153" t="e">
        <f t="shared" si="20"/>
        <v>#VALUE!</v>
      </c>
      <c r="F153" t="str">
        <f t="shared" si="21"/>
        <v>/mappe</v>
      </c>
    </row>
    <row r="154" spans="1:7" x14ac:dyDescent="0.2">
      <c r="B154" s="16" t="s">
        <v>40</v>
      </c>
      <c r="C154" t="s">
        <v>80</v>
      </c>
      <c r="E154" t="e">
        <f t="shared" si="20"/>
        <v>#VALUE!</v>
      </c>
      <c r="F154" t="str">
        <f t="shared" si="21"/>
        <v>/mappe</v>
      </c>
    </row>
    <row r="155" spans="1:7" x14ac:dyDescent="0.2">
      <c r="B155" s="16" t="s">
        <v>40</v>
      </c>
      <c r="C155" t="s">
        <v>81</v>
      </c>
      <c r="E155" t="e">
        <f t="shared" si="20"/>
        <v>#VALUE!</v>
      </c>
      <c r="F155" t="str">
        <f t="shared" si="21"/>
        <v>/mappe</v>
      </c>
    </row>
    <row r="156" spans="1:7" x14ac:dyDescent="0.2">
      <c r="B156" s="16" t="s">
        <v>40</v>
      </c>
      <c r="C156" t="s">
        <v>88</v>
      </c>
      <c r="E156" t="e">
        <f t="shared" si="20"/>
        <v>#VALUE!</v>
      </c>
      <c r="F156" t="str">
        <f t="shared" si="21"/>
        <v>/mappe</v>
      </c>
    </row>
    <row r="157" spans="1:7" x14ac:dyDescent="0.2">
      <c r="B157" s="16" t="s">
        <v>40</v>
      </c>
      <c r="C157" t="s">
        <v>88</v>
      </c>
      <c r="D157" t="s">
        <v>266</v>
      </c>
      <c r="E157" t="e">
        <f t="shared" si="20"/>
        <v>#VALUE!</v>
      </c>
      <c r="F157" t="str">
        <f t="shared" si="21"/>
        <v>/mappe</v>
      </c>
    </row>
    <row r="158" spans="1:7" x14ac:dyDescent="0.2">
      <c r="B158" s="16" t="s">
        <v>40</v>
      </c>
      <c r="C158" t="s">
        <v>83</v>
      </c>
      <c r="E158" t="e">
        <f t="shared" si="20"/>
        <v>#VALUE!</v>
      </c>
      <c r="F158" t="str">
        <f t="shared" si="21"/>
        <v>/mappe</v>
      </c>
    </row>
    <row r="159" spans="1:7" x14ac:dyDescent="0.2">
      <c r="B159" s="16" t="s">
        <v>40</v>
      </c>
      <c r="C159" t="s">
        <v>64</v>
      </c>
      <c r="E159" t="e">
        <f t="shared" si="20"/>
        <v>#VALUE!</v>
      </c>
      <c r="F159" t="str">
        <f t="shared" si="21"/>
        <v>/mappe</v>
      </c>
    </row>
    <row r="160" spans="1:7" x14ac:dyDescent="0.2">
      <c r="B160" s="16" t="s">
        <v>40</v>
      </c>
      <c r="C160" s="22" t="s">
        <v>52</v>
      </c>
      <c r="E160" t="e">
        <f t="shared" si="20"/>
        <v>#VALUE!</v>
      </c>
      <c r="F160" t="str">
        <f t="shared" si="21"/>
        <v>/mappe</v>
      </c>
    </row>
    <row r="161" spans="1:6" x14ac:dyDescent="0.2">
      <c r="B161" s="16" t="s">
        <v>40</v>
      </c>
      <c r="C161" t="s">
        <v>59</v>
      </c>
      <c r="E161" t="e">
        <f t="shared" si="20"/>
        <v>#VALUE!</v>
      </c>
      <c r="F161" t="str">
        <f t="shared" si="21"/>
        <v>/mappe</v>
      </c>
    </row>
    <row r="162" spans="1:6" x14ac:dyDescent="0.2">
      <c r="B162" s="16" t="s">
        <v>40</v>
      </c>
      <c r="C162" t="s">
        <v>32</v>
      </c>
      <c r="E162" t="e">
        <f t="shared" ref="E162:E178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2">
      <c r="B163" s="16" t="s">
        <v>40</v>
      </c>
      <c r="C163" t="s">
        <v>35</v>
      </c>
      <c r="E163" t="e">
        <f t="shared" si="24"/>
        <v>#VALUE!</v>
      </c>
      <c r="F163" t="str">
        <f t="shared" si="25"/>
        <v>/mappe</v>
      </c>
    </row>
    <row r="164" spans="1:6" x14ac:dyDescent="0.2">
      <c r="B164" s="16" t="s">
        <v>40</v>
      </c>
      <c r="C164" s="16" t="s">
        <v>40</v>
      </c>
      <c r="E164" t="e">
        <f t="shared" si="24"/>
        <v>#VALUE!</v>
      </c>
      <c r="F164" t="str">
        <f t="shared" si="25"/>
        <v>/mappe</v>
      </c>
    </row>
    <row r="165" spans="1:6" x14ac:dyDescent="0.2">
      <c r="B165" s="16" t="s">
        <v>40</v>
      </c>
      <c r="C165" t="s">
        <v>47</v>
      </c>
      <c r="E165" t="e">
        <f t="shared" si="24"/>
        <v>#VALUE!</v>
      </c>
      <c r="F165" t="str">
        <f t="shared" si="25"/>
        <v>/mappe</v>
      </c>
    </row>
    <row r="166" spans="1:6" x14ac:dyDescent="0.2">
      <c r="B166" s="16" t="s">
        <v>40</v>
      </c>
      <c r="C166" t="s">
        <v>53</v>
      </c>
      <c r="E166" t="e">
        <f t="shared" si="24"/>
        <v>#VALUE!</v>
      </c>
      <c r="F166" t="str">
        <f t="shared" si="25"/>
        <v>/mappe</v>
      </c>
    </row>
    <row r="167" spans="1:6" x14ac:dyDescent="0.2">
      <c r="B167" s="22" t="s">
        <v>52</v>
      </c>
      <c r="C167" t="s">
        <v>0</v>
      </c>
      <c r="E167" t="e">
        <f t="shared" si="24"/>
        <v>#VALUE!</v>
      </c>
      <c r="F167" t="str">
        <f t="shared" si="25"/>
        <v>/dateiRef</v>
      </c>
    </row>
    <row r="168" spans="1:6" x14ac:dyDescent="0.2">
      <c r="B168" s="22" t="s">
        <v>52</v>
      </c>
      <c r="C168" t="s">
        <v>202</v>
      </c>
      <c r="E168" t="e">
        <f t="shared" si="24"/>
        <v>#VALUE!</v>
      </c>
      <c r="F168" t="str">
        <f t="shared" si="25"/>
        <v>/dateiRef</v>
      </c>
    </row>
    <row r="169" spans="1:6" x14ac:dyDescent="0.2">
      <c r="B169" s="22" t="s">
        <v>52</v>
      </c>
      <c r="C169" t="s">
        <v>203</v>
      </c>
      <c r="E169" t="e">
        <f t="shared" si="24"/>
        <v>#VALUE!</v>
      </c>
      <c r="F169" t="str">
        <f t="shared" si="25"/>
        <v>/dateiRef</v>
      </c>
    </row>
    <row r="170" spans="1:6" x14ac:dyDescent="0.2">
      <c r="B170" s="22" t="s">
        <v>52</v>
      </c>
      <c r="C170" t="s">
        <v>153</v>
      </c>
      <c r="E170" t="e">
        <f t="shared" si="24"/>
        <v>#VALUE!</v>
      </c>
      <c r="F170" t="str">
        <f t="shared" si="25"/>
        <v>/dateiRef</v>
      </c>
    </row>
    <row r="171" spans="1:6" ht="16" x14ac:dyDescent="0.2">
      <c r="A171" t="str">
        <f>F$8</f>
        <v>/paket</v>
      </c>
      <c r="B171" s="12" t="s">
        <v>55</v>
      </c>
      <c r="C171" t="s">
        <v>96</v>
      </c>
      <c r="E171" t="e">
        <f t="shared" si="24"/>
        <v>#VALUE!</v>
      </c>
      <c r="F171" t="str">
        <f t="shared" si="25"/>
        <v>/paket/archivischerVorgang</v>
      </c>
    </row>
    <row r="172" spans="1:6" ht="16" x14ac:dyDescent="0.2">
      <c r="A172" t="str">
        <f t="shared" ref="A172:A174" si="26">F$8</f>
        <v>/paket</v>
      </c>
      <c r="B172" s="12" t="s">
        <v>55</v>
      </c>
      <c r="C172" t="s">
        <v>97</v>
      </c>
      <c r="E172" t="e">
        <f t="shared" si="24"/>
        <v>#VALUE!</v>
      </c>
      <c r="F172" t="str">
        <f t="shared" si="25"/>
        <v>/paket/archivischerVorgang</v>
      </c>
    </row>
    <row r="173" spans="1:6" ht="16" x14ac:dyDescent="0.2">
      <c r="A173" t="str">
        <f t="shared" si="26"/>
        <v>/paket</v>
      </c>
      <c r="B173" s="12" t="s">
        <v>55</v>
      </c>
      <c r="C173" t="s">
        <v>98</v>
      </c>
      <c r="E173" t="e">
        <f t="shared" si="24"/>
        <v>#VALUE!</v>
      </c>
      <c r="F173" t="str">
        <f t="shared" si="25"/>
        <v>/paket/archivischerVorgang</v>
      </c>
    </row>
    <row r="174" spans="1:6" ht="16" x14ac:dyDescent="0.2">
      <c r="A174" t="str">
        <f t="shared" si="26"/>
        <v>/paket</v>
      </c>
      <c r="B174" s="12" t="s">
        <v>55</v>
      </c>
      <c r="C174" t="s">
        <v>99</v>
      </c>
      <c r="E174" t="e">
        <f t="shared" si="24"/>
        <v>#VALUE!</v>
      </c>
      <c r="F174" t="str">
        <f t="shared" si="25"/>
        <v>/paket/archivischerVorgang</v>
      </c>
    </row>
    <row r="175" spans="1:6" ht="16" x14ac:dyDescent="0.2">
      <c r="B175" s="13" t="s">
        <v>56</v>
      </c>
      <c r="C175" t="s">
        <v>154</v>
      </c>
      <c r="E175" t="e">
        <f t="shared" si="24"/>
        <v>#VALUE!</v>
      </c>
      <c r="F175" t="str">
        <f t="shared" si="25"/>
        <v>/archivischeNotiz</v>
      </c>
    </row>
    <row r="176" spans="1:6" ht="16" x14ac:dyDescent="0.2">
      <c r="B176" s="13" t="s">
        <v>56</v>
      </c>
      <c r="C176" t="s">
        <v>100</v>
      </c>
      <c r="E176" t="e">
        <f t="shared" si="24"/>
        <v>#VALUE!</v>
      </c>
      <c r="F176" t="str">
        <f t="shared" si="25"/>
        <v>/archivischeNotiz</v>
      </c>
    </row>
    <row r="177" spans="2:6" ht="16" x14ac:dyDescent="0.2">
      <c r="B177" s="13" t="s">
        <v>56</v>
      </c>
      <c r="C177" t="s">
        <v>101</v>
      </c>
      <c r="E177" t="e">
        <f t="shared" si="24"/>
        <v>#VALUE!</v>
      </c>
      <c r="F177" t="str">
        <f t="shared" si="25"/>
        <v>/archivischeNotiz</v>
      </c>
    </row>
    <row r="178" spans="2:6" ht="16" x14ac:dyDescent="0.2">
      <c r="B178" s="13" t="s">
        <v>56</v>
      </c>
      <c r="C178" t="s">
        <v>102</v>
      </c>
      <c r="E178" t="e">
        <f t="shared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78"/>
  <sheetViews>
    <sheetView tabSelected="1" zoomScaleNormal="100" workbookViewId="0">
      <selection activeCell="E5" sqref="E5"/>
    </sheetView>
  </sheetViews>
  <sheetFormatPr baseColWidth="10" defaultRowHeight="15" x14ac:dyDescent="0.2"/>
  <cols>
    <col min="1" max="1" width="34" bestFit="1" customWidth="1"/>
    <col min="2" max="2" width="23.1640625" bestFit="1" customWidth="1"/>
    <col min="3" max="3" width="28.5" style="1" bestFit="1" customWidth="1"/>
    <col min="5" max="5" width="42.5" bestFit="1" customWidth="1"/>
    <col min="6" max="6" width="57.5" bestFit="1" customWidth="1"/>
    <col min="7" max="7" width="15.6640625" bestFit="1" customWidth="1"/>
    <col min="9" max="9" width="22.6640625" bestFit="1" customWidth="1"/>
  </cols>
  <sheetData>
    <row r="1" spans="1:10" s="3" customFormat="1" x14ac:dyDescent="0.2">
      <c r="A1" s="3" t="s">
        <v>262</v>
      </c>
      <c r="B1" s="3" t="s">
        <v>263</v>
      </c>
      <c r="C1" s="28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10" x14ac:dyDescent="0.2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65" si="0">A2&amp;"/"&amp;B2</f>
        <v>/paket</v>
      </c>
      <c r="G2" t="s">
        <v>269</v>
      </c>
    </row>
    <row r="3" spans="1:10" x14ac:dyDescent="0.2">
      <c r="B3" t="s">
        <v>20</v>
      </c>
      <c r="C3" s="1" t="s">
        <v>58</v>
      </c>
      <c r="E3" t="str">
        <f>PROPER(Umlaut(AddSpace(B3),1))&amp;": "&amp;PROPER(Umlaut(AddSpace(C3),1))&amp;IF(D3="",""," "&amp;D3)</f>
        <v>Paket: Paket Typ</v>
      </c>
      <c r="F3" t="str">
        <f t="shared" si="0"/>
        <v>/paket</v>
      </c>
      <c r="G3" t="s">
        <v>269</v>
      </c>
    </row>
    <row r="4" spans="1:10" x14ac:dyDescent="0.2">
      <c r="B4" t="s">
        <v>20</v>
      </c>
      <c r="C4" s="1" t="s">
        <v>59</v>
      </c>
      <c r="E4" t="str">
        <f>PROPER(Umlaut(AddSpace(B4),1))&amp;": "&amp;PROPER(Umlaut(AddSpace(C4),1))&amp;IF(D4="",""," "&amp;D4)</f>
        <v>Paket: Zusatz Daten</v>
      </c>
      <c r="F4" t="str">
        <f t="shared" si="0"/>
        <v>/paket</v>
      </c>
      <c r="G4" t="s">
        <v>269</v>
      </c>
    </row>
    <row r="5" spans="1:10" x14ac:dyDescent="0.2">
      <c r="B5" t="s">
        <v>20</v>
      </c>
      <c r="C5" s="1" t="s">
        <v>164</v>
      </c>
      <c r="E5" t="str">
        <f>PROPER(Umlaut(AddSpace(B5),1))&amp;": "&amp;PROPER(Umlaut(AddSpace(C5),1))&amp;IF(D5="",""," "&amp;D5)</f>
        <v>Paket: Referenz Übernahmedossier</v>
      </c>
      <c r="F5" t="str">
        <f t="shared" si="0"/>
        <v>/paket</v>
      </c>
      <c r="G5" t="s">
        <v>269</v>
      </c>
      <c r="I5" t="str">
        <f>AddSpace(C5)</f>
        <v>referenz Uebernahmedossier</v>
      </c>
      <c r="J5" t="str">
        <f>Umlaut(I5,1)</f>
        <v>referenz Übernahmedossier</v>
      </c>
    </row>
    <row r="6" spans="1:10" ht="16" x14ac:dyDescent="0.2">
      <c r="B6" t="s">
        <v>20</v>
      </c>
      <c r="C6" s="29" t="s">
        <v>22</v>
      </c>
      <c r="E6" t="str">
        <f>PROPER(Umlaut(AddSpace(B6),1))&amp;": "&amp;PROPER(Umlaut(AddSpace(C6),1))&amp;IF(D6="",""," "&amp;D6)</f>
        <v>Paket: Ablieferung</v>
      </c>
      <c r="F6" t="str">
        <f t="shared" si="0"/>
        <v>/paket</v>
      </c>
      <c r="G6" t="s">
        <v>274</v>
      </c>
    </row>
    <row r="7" spans="1:10" ht="16" x14ac:dyDescent="0.2">
      <c r="B7" t="s">
        <v>20</v>
      </c>
      <c r="C7" s="30" t="s">
        <v>50</v>
      </c>
      <c r="E7" t="str">
        <f>PROPER(Umlaut(AddSpace(B7),1))&amp;": "&amp;PROPER(Umlaut(AddSpace(C7),1))&amp;IF(D7="",""," "&amp;D7)</f>
        <v>Paket: Inhaltsverzeichnis</v>
      </c>
      <c r="F7" t="str">
        <f t="shared" si="0"/>
        <v>/paket</v>
      </c>
      <c r="G7" t="s">
        <v>274</v>
      </c>
    </row>
    <row r="8" spans="1:10" ht="16" x14ac:dyDescent="0.2">
      <c r="B8" t="s">
        <v>20</v>
      </c>
      <c r="C8" s="31" t="s">
        <v>55</v>
      </c>
      <c r="E8" t="str">
        <f>PROPER(Umlaut(AddSpace(B8),1))&amp;": "&amp;PROPER(Umlaut(AddSpace(C8),1))&amp;IF(D8="",""," "&amp;D8)</f>
        <v>Paket: Archivischer Vorgang</v>
      </c>
      <c r="F8" t="str">
        <f t="shared" si="0"/>
        <v>/paket</v>
      </c>
      <c r="G8" t="s">
        <v>274</v>
      </c>
    </row>
    <row r="9" spans="1:10" ht="16" x14ac:dyDescent="0.2">
      <c r="B9" t="s">
        <v>20</v>
      </c>
      <c r="C9" s="32" t="s">
        <v>56</v>
      </c>
      <c r="E9" t="str">
        <f>PROPER(Umlaut(AddSpace(B9),1))&amp;": "&amp;PROPER(Umlaut(AddSpace(C9),1))&amp;IF(D9="",""," "&amp;D9)</f>
        <v>Paket: Archivische Notiz</v>
      </c>
      <c r="F9" t="str">
        <f t="shared" si="0"/>
        <v>/paket</v>
      </c>
      <c r="G9" t="s">
        <v>274</v>
      </c>
    </row>
    <row r="10" spans="1:10" ht="16" x14ac:dyDescent="0.2">
      <c r="A10" t="str">
        <f>F$6</f>
        <v>/paket</v>
      </c>
      <c r="B10" s="10" t="s">
        <v>22</v>
      </c>
      <c r="C10" s="1" t="s">
        <v>165</v>
      </c>
      <c r="E10" t="str">
        <f>PROPER(Umlaut(AddSpace(B10),1))&amp;": "&amp;PROPER(Umlaut(AddSpace(C10),1))&amp;IF(D10="",""," "&amp;D10)</f>
        <v>Ablieferung: Ablieferungsnummer</v>
      </c>
      <c r="F10" t="str">
        <f t="shared" si="0"/>
        <v>/paket/ablieferung</v>
      </c>
      <c r="G10" t="s">
        <v>269</v>
      </c>
    </row>
    <row r="11" spans="1:10" ht="16" x14ac:dyDescent="0.2">
      <c r="A11" t="str">
        <f t="shared" ref="A11:A27" si="1">F$6</f>
        <v>/paket</v>
      </c>
      <c r="B11" s="10" t="s">
        <v>22</v>
      </c>
      <c r="C11" s="1" t="s">
        <v>60</v>
      </c>
      <c r="E11" t="str">
        <f>PROPER(Umlaut(AddSpace(B11),1))&amp;": "&amp;PROPER(Umlaut(AddSpace(C11),1))&amp;IF(D11="",""," "&amp;D11)</f>
        <v>Ablieferung: Ablieferungstyp</v>
      </c>
      <c r="F11" t="str">
        <f t="shared" si="0"/>
        <v>/paket/ablieferung</v>
      </c>
      <c r="G11" t="s">
        <v>269</v>
      </c>
    </row>
    <row r="12" spans="1:10" ht="16" x14ac:dyDescent="0.2">
      <c r="A12" t="str">
        <f t="shared" si="1"/>
        <v>/paket</v>
      </c>
      <c r="B12" s="10" t="s">
        <v>22</v>
      </c>
      <c r="C12" s="1" t="s">
        <v>166</v>
      </c>
      <c r="E12" t="str">
        <f>PROPER(Umlaut(AddSpace(B12),1))&amp;": "&amp;PROPER(Umlaut(AddSpace(C12),1))&amp;IF(D12="",""," "&amp;D12)</f>
        <v>Ablieferung: Angebotsnummer</v>
      </c>
      <c r="F12" t="str">
        <f t="shared" si="0"/>
        <v>/paket/ablieferung</v>
      </c>
      <c r="G12" t="s">
        <v>269</v>
      </c>
    </row>
    <row r="13" spans="1:10" ht="16" x14ac:dyDescent="0.2">
      <c r="A13" t="str">
        <f t="shared" si="1"/>
        <v>/paket</v>
      </c>
      <c r="B13" s="10" t="s">
        <v>22</v>
      </c>
      <c r="C13" s="1" t="s">
        <v>61</v>
      </c>
      <c r="E13" t="str">
        <f>PROPER(Umlaut(AddSpace(B13),1))&amp;": "&amp;PROPER(Umlaut(AddSpace(C13),1))&amp;IF(D13="",""," "&amp;D13)</f>
        <v>Ablieferung: Abliefernde Stelle</v>
      </c>
      <c r="F13" t="str">
        <f t="shared" si="0"/>
        <v>/paket/ablieferung</v>
      </c>
      <c r="G13" t="s">
        <v>269</v>
      </c>
    </row>
    <row r="14" spans="1:10" ht="16" x14ac:dyDescent="0.2">
      <c r="A14" t="str">
        <f t="shared" si="1"/>
        <v>/paket</v>
      </c>
      <c r="B14" s="10" t="s">
        <v>22</v>
      </c>
      <c r="C14" s="1" t="s">
        <v>62</v>
      </c>
      <c r="D14" t="s">
        <v>267</v>
      </c>
      <c r="E14" t="str">
        <f>PROPER(Umlaut(AddSpace(B14),1))&amp;": "&amp;PROPER(Umlaut(AddSpace(C14),1))&amp;IF(D14="",""," "&amp;D14)</f>
        <v>Ablieferung: Entstehungszeitraum von/datum</v>
      </c>
      <c r="F14" t="str">
        <f t="shared" si="0"/>
        <v>/paket/ablieferung</v>
      </c>
      <c r="G14" t="s">
        <v>269</v>
      </c>
    </row>
    <row r="15" spans="1:10" ht="16" x14ac:dyDescent="0.2">
      <c r="A15" t="str">
        <f t="shared" si="1"/>
        <v>/paket</v>
      </c>
      <c r="B15" s="10" t="s">
        <v>22</v>
      </c>
      <c r="C15" s="1" t="s">
        <v>62</v>
      </c>
      <c r="D15" t="s">
        <v>268</v>
      </c>
      <c r="E15" t="str">
        <f>PROPER(Umlaut(AddSpace(B15),1))&amp;": "&amp;PROPER(Umlaut(AddSpace(C15),1))&amp;IF(D15="",""," "&amp;D15)</f>
        <v>Ablieferung: Entstehungszeitraum bis/datum</v>
      </c>
      <c r="F15" t="str">
        <f t="shared" si="0"/>
        <v>/paket/ablieferung</v>
      </c>
      <c r="G15" t="s">
        <v>269</v>
      </c>
    </row>
    <row r="16" spans="1:10" ht="16" x14ac:dyDescent="0.2">
      <c r="A16" t="str">
        <f t="shared" si="1"/>
        <v>/paket</v>
      </c>
      <c r="B16" s="10" t="s">
        <v>22</v>
      </c>
      <c r="C16" s="1" t="s">
        <v>62</v>
      </c>
      <c r="D16" t="s">
        <v>266</v>
      </c>
      <c r="E16" t="str">
        <f>PROPER(Umlaut(AddSpace(B16),1))&amp;": "&amp;PROPER(Umlaut(AddSpace(C16),1))&amp;IF(D16="",""," "&amp;D16)</f>
        <v>Ablieferung: Entstehungszeitraum ca</v>
      </c>
      <c r="F16" t="str">
        <f t="shared" si="0"/>
        <v>/paket/ablieferung</v>
      </c>
      <c r="G16" t="s">
        <v>269</v>
      </c>
    </row>
    <row r="17" spans="1:7" ht="16" x14ac:dyDescent="0.2">
      <c r="A17" t="str">
        <f t="shared" si="1"/>
        <v>/paket</v>
      </c>
      <c r="B17" s="10" t="s">
        <v>22</v>
      </c>
      <c r="C17" s="1" t="s">
        <v>167</v>
      </c>
      <c r="E17" t="str">
        <f>PROPER(Umlaut(AddSpace(B17),1))&amp;": "&amp;PROPER(Umlaut(AddSpace(C17),1))&amp;IF(D17="",""," "&amp;D17)</f>
        <v>Ablieferung: Referenz Bewertungsentscheid</v>
      </c>
      <c r="F17" t="str">
        <f t="shared" si="0"/>
        <v>/paket/ablieferung</v>
      </c>
      <c r="G17" t="s">
        <v>269</v>
      </c>
    </row>
    <row r="18" spans="1:7" ht="16" x14ac:dyDescent="0.2">
      <c r="A18" t="str">
        <f t="shared" si="1"/>
        <v>/paket</v>
      </c>
      <c r="B18" s="10" t="s">
        <v>22</v>
      </c>
      <c r="C18" s="1" t="s">
        <v>168</v>
      </c>
      <c r="E18" t="str">
        <f>PROPER(Umlaut(AddSpace(B18),1))&amp;": "&amp;PROPER(Umlaut(AddSpace(C18),1))&amp;IF(D18="",""," "&amp;D18)</f>
        <v>Ablieferung: Referenz Schutzfristen Formular</v>
      </c>
      <c r="F18" t="str">
        <f t="shared" si="0"/>
        <v>/paket/ablieferung</v>
      </c>
      <c r="G18" t="s">
        <v>269</v>
      </c>
    </row>
    <row r="19" spans="1:7" ht="16" x14ac:dyDescent="0.2">
      <c r="A19" t="str">
        <f t="shared" si="1"/>
        <v>/paket</v>
      </c>
      <c r="B19" s="10" t="s">
        <v>22</v>
      </c>
      <c r="C19" s="1" t="s">
        <v>169</v>
      </c>
      <c r="E19" t="str">
        <f>PROPER(Umlaut(AddSpace(B19),1))&amp;": "&amp;PROPER(Umlaut(AddSpace(C19),1))&amp;IF(D19="",""," "&amp;D19)</f>
        <v>Ablieferung: Schutzfristenkategorie</v>
      </c>
      <c r="F19" t="str">
        <f t="shared" si="0"/>
        <v>/paket/ablieferung</v>
      </c>
      <c r="G19" t="s">
        <v>269</v>
      </c>
    </row>
    <row r="20" spans="1:7" ht="16" x14ac:dyDescent="0.2">
      <c r="A20" t="str">
        <f t="shared" si="1"/>
        <v>/paket</v>
      </c>
      <c r="B20" s="10" t="s">
        <v>22</v>
      </c>
      <c r="C20" s="1" t="s">
        <v>170</v>
      </c>
      <c r="E20" t="str">
        <f>PROPER(Umlaut(AddSpace(B20),1))&amp;": "&amp;PROPER(Umlaut(AddSpace(C20),1))&amp;IF(D20="",""," "&amp;D20)</f>
        <v>Ablieferung: Schutzfrist</v>
      </c>
      <c r="F20" t="str">
        <f t="shared" si="0"/>
        <v>/paket/ablieferung</v>
      </c>
      <c r="G20" t="s">
        <v>269</v>
      </c>
    </row>
    <row r="21" spans="1:7" ht="16" x14ac:dyDescent="0.2">
      <c r="A21" t="str">
        <f t="shared" si="1"/>
        <v>/paket</v>
      </c>
      <c r="B21" s="10" t="s">
        <v>22</v>
      </c>
      <c r="C21" s="1" t="s">
        <v>63</v>
      </c>
      <c r="E21" t="str">
        <f>PROPER(Umlaut(AddSpace(B21),1))&amp;": "&amp;PROPER(Umlaut(AddSpace(C21),1))&amp;IF(D21="",""," "&amp;D21)</f>
        <v>Ablieferung: Ablieferungsteile</v>
      </c>
      <c r="F21" t="str">
        <f t="shared" si="0"/>
        <v>/paket/ablieferung</v>
      </c>
      <c r="G21" t="s">
        <v>269</v>
      </c>
    </row>
    <row r="22" spans="1:7" ht="16" x14ac:dyDescent="0.2">
      <c r="A22" t="str">
        <f t="shared" si="1"/>
        <v>/paket</v>
      </c>
      <c r="B22" s="10" t="s">
        <v>22</v>
      </c>
      <c r="C22" s="1" t="s">
        <v>64</v>
      </c>
      <c r="E22" t="str">
        <f>PROPER(Umlaut(AddSpace(B22),1))&amp;": "&amp;PROPER(Umlaut(AddSpace(C22),1))&amp;IF(D22="",""," "&amp;D22)</f>
        <v>Ablieferung: Bemerkung</v>
      </c>
      <c r="F22" t="str">
        <f t="shared" si="0"/>
        <v>/paket/ablieferung</v>
      </c>
      <c r="G22" t="s">
        <v>269</v>
      </c>
    </row>
    <row r="23" spans="1:7" ht="16" x14ac:dyDescent="0.2">
      <c r="A23" t="str">
        <f t="shared" si="1"/>
        <v>/paket</v>
      </c>
      <c r="B23" s="10" t="s">
        <v>22</v>
      </c>
      <c r="C23" s="1" t="s">
        <v>59</v>
      </c>
      <c r="E23" t="str">
        <f>PROPER(Umlaut(AddSpace(B23),1))&amp;": "&amp;PROPER(Umlaut(AddSpace(C23),1))&amp;IF(D23="",""," "&amp;D23)</f>
        <v>Ablieferung: Zusatz Daten</v>
      </c>
      <c r="F23" t="str">
        <f t="shared" si="0"/>
        <v>/paket/ablieferung</v>
      </c>
      <c r="G23" t="s">
        <v>269</v>
      </c>
    </row>
    <row r="24" spans="1:7" ht="16" x14ac:dyDescent="0.2">
      <c r="A24" t="str">
        <f t="shared" si="1"/>
        <v>/paket</v>
      </c>
      <c r="B24" s="10" t="s">
        <v>22</v>
      </c>
      <c r="C24" s="33" t="s">
        <v>26</v>
      </c>
      <c r="E24" t="str">
        <f>PROPER(Umlaut(AddSpace(B24),1))&amp;": "&amp;PROPER(Umlaut(AddSpace(C24),1))&amp;IF(D24="",""," "&amp;D24)</f>
        <v>Ablieferung: Provenienz</v>
      </c>
      <c r="F24" t="str">
        <f t="shared" si="0"/>
        <v>/paket/ablieferung</v>
      </c>
      <c r="G24" t="s">
        <v>274</v>
      </c>
    </row>
    <row r="25" spans="1:7" ht="16" x14ac:dyDescent="0.2">
      <c r="A25" t="str">
        <f t="shared" si="1"/>
        <v>/paket</v>
      </c>
      <c r="B25" s="10" t="s">
        <v>22</v>
      </c>
      <c r="C25" s="34" t="s">
        <v>29</v>
      </c>
      <c r="E25" t="str">
        <f>PROPER(Umlaut(AddSpace(B25),1))&amp;": "&amp;PROPER(Umlaut(AddSpace(C25),1))&amp;IF(D25="",""," "&amp;D25)</f>
        <v>Ablieferung: Ordnungssystem</v>
      </c>
      <c r="F25" t="str">
        <f t="shared" si="0"/>
        <v>/paket/ablieferung</v>
      </c>
      <c r="G25" t="s">
        <v>274</v>
      </c>
    </row>
    <row r="26" spans="1:7" ht="16" x14ac:dyDescent="0.2">
      <c r="A26" t="str">
        <f t="shared" si="1"/>
        <v>/paket</v>
      </c>
      <c r="B26" s="10" t="s">
        <v>22</v>
      </c>
      <c r="C26" s="35" t="s">
        <v>40</v>
      </c>
      <c r="E26" t="str">
        <f>PROPER(Umlaut(AddSpace(B26),1))&amp;": "&amp;PROPER(Umlaut(AddSpace(C26),1))&amp;IF(D26="",""," "&amp;D26)</f>
        <v>Ablieferung: Mappe</v>
      </c>
      <c r="F26" t="str">
        <f t="shared" si="0"/>
        <v>/paket/ablieferung</v>
      </c>
      <c r="G26" t="s">
        <v>274</v>
      </c>
    </row>
    <row r="27" spans="1:7" ht="16" x14ac:dyDescent="0.2">
      <c r="A27" t="str">
        <f t="shared" si="1"/>
        <v>/paket</v>
      </c>
      <c r="B27" s="10" t="s">
        <v>22</v>
      </c>
      <c r="C27" s="36" t="s">
        <v>56</v>
      </c>
      <c r="E27" t="str">
        <f>PROPER(Umlaut(AddSpace(B27),1))&amp;": "&amp;PROPER(Umlaut(AddSpace(C27),1))&amp;IF(D27="",""," "&amp;D27)</f>
        <v>Ablieferung: Archivische Notiz</v>
      </c>
      <c r="F27" t="str">
        <f t="shared" si="0"/>
        <v>/paket/ablieferung</v>
      </c>
      <c r="G27" t="s">
        <v>274</v>
      </c>
    </row>
    <row r="28" spans="1:7" x14ac:dyDescent="0.2">
      <c r="A28" t="str">
        <f>F$24</f>
        <v>/paket/ablieferung</v>
      </c>
      <c r="B28" s="14" t="s">
        <v>26</v>
      </c>
      <c r="C28" s="1" t="s">
        <v>264</v>
      </c>
      <c r="E28" t="str">
        <f>PROPER(Umlaut(AddSpace(B28),1))&amp;": "&amp;PROPER(Umlaut(AddSpace(C28),1))&amp;IF(D28="",""," "&amp;D28)</f>
        <v xml:space="preserve">Provenienz: Aktenbildner Name  </v>
      </c>
      <c r="F28" t="str">
        <f t="shared" si="0"/>
        <v>/paket/ablieferung/provenienz</v>
      </c>
      <c r="G28" t="s">
        <v>269</v>
      </c>
    </row>
    <row r="29" spans="1:7" x14ac:dyDescent="0.2">
      <c r="A29" t="str">
        <f t="shared" ref="A29:A39" si="2">F$24</f>
        <v>/paket/ablieferung</v>
      </c>
      <c r="B29" s="14" t="s">
        <v>26</v>
      </c>
      <c r="C29" s="1" t="s">
        <v>66</v>
      </c>
      <c r="E29" t="str">
        <f>PROPER(Umlaut(AddSpace(B29),1))&amp;": "&amp;PROPER(Umlaut(AddSpace(C29),1))&amp;IF(D29="",""," "&amp;D29)</f>
        <v>Provenienz: System Name</v>
      </c>
      <c r="F29" t="str">
        <f t="shared" si="0"/>
        <v>/paket/ablieferung/provenienz</v>
      </c>
      <c r="G29" t="s">
        <v>269</v>
      </c>
    </row>
    <row r="30" spans="1:7" x14ac:dyDescent="0.2">
      <c r="A30" t="str">
        <f t="shared" si="2"/>
        <v>/paket/ablieferung</v>
      </c>
      <c r="B30" s="14" t="s">
        <v>26</v>
      </c>
      <c r="C30" s="1" t="s">
        <v>67</v>
      </c>
      <c r="E30" t="str">
        <f>PROPER(Umlaut(AddSpace(B30),1))&amp;": "&amp;PROPER(Umlaut(AddSpace(C30),1))&amp;IF(D30="",""," "&amp;D30)</f>
        <v>Provenienz: System Beschreibung</v>
      </c>
      <c r="F30" t="str">
        <f t="shared" si="0"/>
        <v>/paket/ablieferung/provenienz</v>
      </c>
      <c r="G30" t="s">
        <v>269</v>
      </c>
    </row>
    <row r="31" spans="1:7" x14ac:dyDescent="0.2">
      <c r="A31" t="str">
        <f t="shared" si="2"/>
        <v>/paket/ablieferung</v>
      </c>
      <c r="B31" s="14" t="s">
        <v>26</v>
      </c>
      <c r="C31" s="1" t="s">
        <v>171</v>
      </c>
      <c r="E31" t="str">
        <f>PROPER(Umlaut(AddSpace(B31),1))&amp;": "&amp;PROPER(Umlaut(AddSpace(C31),1))&amp;IF(D31="",""," "&amp;D31)</f>
        <v>Provenienz: Registratur</v>
      </c>
      <c r="F31" t="str">
        <f t="shared" si="0"/>
        <v>/paket/ablieferung/provenienz</v>
      </c>
      <c r="G31" t="s">
        <v>269</v>
      </c>
    </row>
    <row r="32" spans="1:7" x14ac:dyDescent="0.2">
      <c r="A32" t="str">
        <f t="shared" si="2"/>
        <v>/paket/ablieferung</v>
      </c>
      <c r="B32" s="14" t="s">
        <v>26</v>
      </c>
      <c r="C32" s="1" t="s">
        <v>172</v>
      </c>
      <c r="E32" t="str">
        <f>PROPER(Umlaut(AddSpace(B32),1))&amp;": "&amp;PROPER(Umlaut(AddSpace(C32),1))&amp;IF(D32="",""," "&amp;D32)</f>
        <v>Provenienz: Verwandte Systeme</v>
      </c>
      <c r="F32" t="str">
        <f t="shared" si="0"/>
        <v>/paket/ablieferung/provenienz</v>
      </c>
      <c r="G32" t="s">
        <v>269</v>
      </c>
    </row>
    <row r="33" spans="1:7" x14ac:dyDescent="0.2">
      <c r="A33" t="str">
        <f t="shared" si="2"/>
        <v>/paket/ablieferung</v>
      </c>
      <c r="B33" s="14" t="s">
        <v>26</v>
      </c>
      <c r="C33" s="1" t="s">
        <v>173</v>
      </c>
      <c r="E33" t="str">
        <f>PROPER(Umlaut(AddSpace(B33),1))&amp;": "&amp;PROPER(Umlaut(AddSpace(C33),1))&amp;IF(D33="",""," "&amp;D33)</f>
        <v>Provenienz: Archivierungsmodus Löschvorschriften</v>
      </c>
      <c r="F33" t="str">
        <f t="shared" si="0"/>
        <v>/paket/ablieferung/provenienz</v>
      </c>
      <c r="G33" t="s">
        <v>269</v>
      </c>
    </row>
    <row r="34" spans="1:7" x14ac:dyDescent="0.2">
      <c r="A34" t="str">
        <f t="shared" si="2"/>
        <v>/paket/ablieferung</v>
      </c>
      <c r="B34" s="14" t="s">
        <v>26</v>
      </c>
      <c r="C34" s="1" t="s">
        <v>68</v>
      </c>
      <c r="D34" t="s">
        <v>267</v>
      </c>
      <c r="E34" t="str">
        <f>PROPER(Umlaut(AddSpace(B34),1))&amp;": "&amp;PROPER(Umlaut(AddSpace(C34),1))&amp;IF(D34="",""," "&amp;D34)</f>
        <v>Provenienz: Existenzzeitraum von/datum</v>
      </c>
      <c r="F34" t="str">
        <f t="shared" si="0"/>
        <v>/paket/ablieferung/provenienz</v>
      </c>
      <c r="G34" t="s">
        <v>269</v>
      </c>
    </row>
    <row r="35" spans="1:7" x14ac:dyDescent="0.2">
      <c r="A35" t="str">
        <f t="shared" si="2"/>
        <v>/paket/ablieferung</v>
      </c>
      <c r="B35" s="14" t="s">
        <v>26</v>
      </c>
      <c r="C35" s="1" t="s">
        <v>68</v>
      </c>
      <c r="D35" t="s">
        <v>268</v>
      </c>
      <c r="E35" t="str">
        <f>PROPER(Umlaut(AddSpace(B35),1))&amp;": "&amp;PROPER(Umlaut(AddSpace(C35),1))&amp;IF(D35="",""," "&amp;D35)</f>
        <v>Provenienz: Existenzzeitraum bis/datum</v>
      </c>
      <c r="F35" t="str">
        <f t="shared" si="0"/>
        <v>/paket/ablieferung/provenienz</v>
      </c>
      <c r="G35" t="s">
        <v>269</v>
      </c>
    </row>
    <row r="36" spans="1:7" x14ac:dyDescent="0.2">
      <c r="A36" t="str">
        <f t="shared" si="2"/>
        <v>/paket/ablieferung</v>
      </c>
      <c r="B36" s="14" t="s">
        <v>26</v>
      </c>
      <c r="C36" s="1" t="s">
        <v>68</v>
      </c>
      <c r="D36" t="s">
        <v>266</v>
      </c>
      <c r="E36" t="str">
        <f>PROPER(Umlaut(AddSpace(B36),1))&amp;": "&amp;PROPER(Umlaut(AddSpace(C36),1))&amp;IF(D36="",""," "&amp;D36)</f>
        <v>Provenienz: Existenzzeitraum ca</v>
      </c>
      <c r="F36" t="str">
        <f t="shared" si="0"/>
        <v>/paket/ablieferung/provenienz</v>
      </c>
      <c r="G36" t="s">
        <v>269</v>
      </c>
    </row>
    <row r="37" spans="1:7" x14ac:dyDescent="0.2">
      <c r="A37" t="str">
        <f t="shared" si="2"/>
        <v>/paket/ablieferung</v>
      </c>
      <c r="B37" s="14" t="s">
        <v>26</v>
      </c>
      <c r="C37" s="1" t="s">
        <v>69</v>
      </c>
      <c r="E37" t="str">
        <f>PROPER(Umlaut(AddSpace(B37),1))&amp;": "&amp;PROPER(Umlaut(AddSpace(C37),1))&amp;IF(D37="",""," "&amp;D37)</f>
        <v>Provenienz: Geschichte Aktenbildner</v>
      </c>
      <c r="F37" t="str">
        <f t="shared" si="0"/>
        <v>/paket/ablieferung/provenienz</v>
      </c>
      <c r="G37" t="s">
        <v>269</v>
      </c>
    </row>
    <row r="38" spans="1:7" x14ac:dyDescent="0.2">
      <c r="A38" t="str">
        <f t="shared" si="2"/>
        <v>/paket/ablieferung</v>
      </c>
      <c r="B38" s="14" t="s">
        <v>26</v>
      </c>
      <c r="C38" s="1" t="s">
        <v>64</v>
      </c>
      <c r="E38" t="str">
        <f>PROPER(Umlaut(AddSpace(B38),1))&amp;": "&amp;PROPER(Umlaut(AddSpace(C38),1))&amp;IF(D38="",""," "&amp;D38)</f>
        <v>Provenienz: Bemerkung</v>
      </c>
      <c r="F38" t="str">
        <f t="shared" si="0"/>
        <v>/paket/ablieferung/provenienz</v>
      </c>
      <c r="G38" t="s">
        <v>269</v>
      </c>
    </row>
    <row r="39" spans="1:7" x14ac:dyDescent="0.2">
      <c r="A39" t="str">
        <f t="shared" si="2"/>
        <v>/paket/ablieferung</v>
      </c>
      <c r="B39" s="14" t="s">
        <v>26</v>
      </c>
      <c r="C39" s="36" t="s">
        <v>56</v>
      </c>
      <c r="E39" t="str">
        <f>PROPER(Umlaut(AddSpace(B39),1))&amp;": "&amp;PROPER(Umlaut(AddSpace(C39),1))&amp;IF(D39="",""," "&amp;D39)</f>
        <v>Provenienz: Archivische Notiz</v>
      </c>
      <c r="F39" t="str">
        <f t="shared" si="0"/>
        <v>/paket/ablieferung/provenienz</v>
      </c>
      <c r="G39" t="s">
        <v>274</v>
      </c>
    </row>
    <row r="40" spans="1:7" x14ac:dyDescent="0.2">
      <c r="A40" t="str">
        <f t="shared" ref="A40:A50" si="3">F$25</f>
        <v>/paket/ablieferung</v>
      </c>
      <c r="B40" s="15" t="s">
        <v>29</v>
      </c>
      <c r="C40" s="1" t="s">
        <v>1</v>
      </c>
      <c r="E40" t="str">
        <f>PROPER(Umlaut(AddSpace(B40),1))&amp;": "&amp;PROPER(Umlaut(AddSpace(C40),1))&amp;IF(D40="",""," "&amp;D40)</f>
        <v>Ordnungssystem: Name</v>
      </c>
      <c r="F40" t="str">
        <f t="shared" si="0"/>
        <v>/paket/ablieferung/ordnungssystem</v>
      </c>
      <c r="G40" t="s">
        <v>269</v>
      </c>
    </row>
    <row r="41" spans="1:7" x14ac:dyDescent="0.2">
      <c r="A41" t="str">
        <f t="shared" si="3"/>
        <v>/paket/ablieferung</v>
      </c>
      <c r="B41" s="15" t="s">
        <v>29</v>
      </c>
      <c r="C41" s="1" t="s">
        <v>70</v>
      </c>
      <c r="E41" t="str">
        <f>PROPER(Umlaut(AddSpace(B41),1))&amp;": "&amp;PROPER(Umlaut(AddSpace(C41),1))&amp;IF(D41="",""," "&amp;D41)</f>
        <v>Ordnungssystem: Generation</v>
      </c>
      <c r="F41" t="str">
        <f t="shared" si="0"/>
        <v>/paket/ablieferung/ordnungssystem</v>
      </c>
      <c r="G41" t="s">
        <v>269</v>
      </c>
    </row>
    <row r="42" spans="1:7" x14ac:dyDescent="0.2">
      <c r="A42" t="str">
        <f t="shared" si="3"/>
        <v>/paket/ablieferung</v>
      </c>
      <c r="B42" s="15" t="s">
        <v>29</v>
      </c>
      <c r="C42" s="1" t="s">
        <v>71</v>
      </c>
      <c r="D42" t="s">
        <v>267</v>
      </c>
      <c r="E42" t="str">
        <f>PROPER(Umlaut(AddSpace(B42),1))&amp;": "&amp;PROPER(Umlaut(AddSpace(C42),1))&amp;IF(D42="",""," "&amp;D42)</f>
        <v>Ordnungssystem: Anwendungszeitraum von/datum</v>
      </c>
      <c r="F42" t="str">
        <f t="shared" si="0"/>
        <v>/paket/ablieferung/ordnungssystem</v>
      </c>
      <c r="G42" t="s">
        <v>269</v>
      </c>
    </row>
    <row r="43" spans="1:7" x14ac:dyDescent="0.2">
      <c r="A43" t="str">
        <f t="shared" si="3"/>
        <v>/paket/ablieferung</v>
      </c>
      <c r="B43" s="15" t="s">
        <v>29</v>
      </c>
      <c r="C43" s="1" t="s">
        <v>71</v>
      </c>
      <c r="D43" t="s">
        <v>268</v>
      </c>
      <c r="E43" t="str">
        <f>PROPER(Umlaut(AddSpace(B43),1))&amp;": "&amp;PROPER(Umlaut(AddSpace(C43),1))&amp;IF(D43="",""," "&amp;D43)</f>
        <v>Ordnungssystem: Anwendungszeitraum bis/datum</v>
      </c>
      <c r="F43" t="str">
        <f t="shared" si="0"/>
        <v>/paket/ablieferung/ordnungssystem</v>
      </c>
      <c r="G43" t="s">
        <v>269</v>
      </c>
    </row>
    <row r="44" spans="1:7" x14ac:dyDescent="0.2">
      <c r="A44" t="str">
        <f t="shared" si="3"/>
        <v>/paket/ablieferung</v>
      </c>
      <c r="B44" s="15" t="s">
        <v>29</v>
      </c>
      <c r="C44" s="1" t="s">
        <v>71</v>
      </c>
      <c r="D44" t="s">
        <v>266</v>
      </c>
      <c r="E44" t="str">
        <f>PROPER(Umlaut(AddSpace(B44),1))&amp;": "&amp;PROPER(Umlaut(AddSpace(C44),1))&amp;IF(D44="",""," "&amp;D44)</f>
        <v>Ordnungssystem: Anwendungszeitraum ca</v>
      </c>
      <c r="F44" t="str">
        <f t="shared" si="0"/>
        <v>/paket/ablieferung/ordnungssystem</v>
      </c>
      <c r="G44" t="s">
        <v>269</v>
      </c>
    </row>
    <row r="45" spans="1:7" x14ac:dyDescent="0.2">
      <c r="A45" t="str">
        <f t="shared" si="3"/>
        <v>/paket/ablieferung</v>
      </c>
      <c r="B45" s="15" t="s">
        <v>29</v>
      </c>
      <c r="C45" s="1" t="s">
        <v>72</v>
      </c>
      <c r="E45" t="str">
        <f>PROPER(Umlaut(AddSpace(B45),1))&amp;": "&amp;PROPER(Umlaut(AddSpace(C45),1))&amp;IF(D45="",""," "&amp;D45)</f>
        <v>Ordnungssystem: Mitbenutzung</v>
      </c>
      <c r="F45" t="str">
        <f t="shared" si="0"/>
        <v>/paket/ablieferung/ordnungssystem</v>
      </c>
      <c r="G45" t="s">
        <v>269</v>
      </c>
    </row>
    <row r="46" spans="1:7" x14ac:dyDescent="0.2">
      <c r="A46" t="str">
        <f t="shared" si="3"/>
        <v>/paket/ablieferung</v>
      </c>
      <c r="B46" s="15" t="s">
        <v>29</v>
      </c>
      <c r="C46" s="1" t="s">
        <v>64</v>
      </c>
      <c r="E46" t="str">
        <f>PROPER(Umlaut(AddSpace(B46),1))&amp;": "&amp;PROPER(Umlaut(AddSpace(C46),1))&amp;IF(D46="",""," "&amp;D46)</f>
        <v>Ordnungssystem: Bemerkung</v>
      </c>
      <c r="F46" t="str">
        <f t="shared" si="0"/>
        <v>/paket/ablieferung/ordnungssystem</v>
      </c>
      <c r="G46" t="s">
        <v>269</v>
      </c>
    </row>
    <row r="47" spans="1:7" x14ac:dyDescent="0.2">
      <c r="A47" t="str">
        <f t="shared" si="3"/>
        <v>/paket/ablieferung</v>
      </c>
      <c r="B47" s="15" t="s">
        <v>29</v>
      </c>
      <c r="C47" s="1" t="s">
        <v>59</v>
      </c>
      <c r="E47" t="str">
        <f>PROPER(Umlaut(AddSpace(B47),1))&amp;": "&amp;PROPER(Umlaut(AddSpace(C47),1))&amp;IF(D47="",""," "&amp;D47)</f>
        <v>Ordnungssystem: Zusatz Daten</v>
      </c>
      <c r="F47" t="str">
        <f t="shared" si="0"/>
        <v>/paket/ablieferung/ordnungssystem</v>
      </c>
      <c r="G47" t="s">
        <v>269</v>
      </c>
    </row>
    <row r="48" spans="1:7" x14ac:dyDescent="0.2">
      <c r="A48" t="str">
        <f t="shared" si="3"/>
        <v>/paket/ablieferung</v>
      </c>
      <c r="B48" s="15" t="s">
        <v>29</v>
      </c>
      <c r="C48" s="37" t="s">
        <v>32</v>
      </c>
      <c r="E48" t="str">
        <f>PROPER(Umlaut(AddSpace(B48),1))&amp;": "&amp;PROPER(Umlaut(AddSpace(C48),1))&amp;IF(D48="",""," "&amp;D48)</f>
        <v>Ordnungssystem: Ordnungssystemposition</v>
      </c>
      <c r="F48" t="str">
        <f t="shared" si="0"/>
        <v>/paket/ablieferung/ordnungssystem</v>
      </c>
      <c r="G48" t="s">
        <v>274</v>
      </c>
    </row>
    <row r="49" spans="1:7" x14ac:dyDescent="0.2">
      <c r="A49" t="str">
        <f t="shared" si="3"/>
        <v>/paket/ablieferung</v>
      </c>
      <c r="B49" s="15" t="s">
        <v>29</v>
      </c>
      <c r="C49" s="35" t="s">
        <v>40</v>
      </c>
      <c r="E49" t="str">
        <f>PROPER(Umlaut(AddSpace(B49),1))&amp;": "&amp;PROPER(Umlaut(AddSpace(C49),1))&amp;IF(D49="",""," "&amp;D49)</f>
        <v>Ordnungssystem: Mappe</v>
      </c>
      <c r="F49" t="str">
        <f t="shared" si="0"/>
        <v>/paket/ablieferung/ordnungssystem</v>
      </c>
      <c r="G49" t="s">
        <v>274</v>
      </c>
    </row>
    <row r="50" spans="1:7" x14ac:dyDescent="0.2">
      <c r="A50" t="str">
        <f t="shared" si="3"/>
        <v>/paket/ablieferung</v>
      </c>
      <c r="B50" s="15" t="s">
        <v>29</v>
      </c>
      <c r="C50" s="36" t="s">
        <v>56</v>
      </c>
      <c r="E50" t="str">
        <f>PROPER(Umlaut(AddSpace(B50),1))&amp;": "&amp;PROPER(Umlaut(AddSpace(C50),1))&amp;IF(D50="",""," "&amp;D50)</f>
        <v>Ordnungssystem: Archivische Notiz</v>
      </c>
      <c r="F50" t="str">
        <f t="shared" si="0"/>
        <v>/paket/ablieferung/ordnungssystem</v>
      </c>
      <c r="G50" t="s">
        <v>274</v>
      </c>
    </row>
    <row r="51" spans="1:7" x14ac:dyDescent="0.2">
      <c r="A51" t="str">
        <f>F$48</f>
        <v>/paket/ablieferung/ordnungssystem</v>
      </c>
      <c r="B51" s="20" t="s">
        <v>32</v>
      </c>
      <c r="C51" s="1" t="s">
        <v>154</v>
      </c>
      <c r="E51" t="str">
        <f>PROPER(Umlaut(AddSpace(B51),1))&amp;": "&amp;PROPER(Umlaut(AddSpace(C51),1))&amp;IF(D51="",""," "&amp;D51)</f>
        <v>Ordnungssystemposition: Id</v>
      </c>
      <c r="F51" t="str">
        <f t="shared" si="0"/>
        <v>/paket/ablieferung/ordnungssystem/ordnungssystemposition</v>
      </c>
      <c r="G51" t="s">
        <v>269</v>
      </c>
    </row>
    <row r="52" spans="1:7" x14ac:dyDescent="0.2">
      <c r="A52" t="str">
        <f t="shared" ref="A52:A68" si="4">F$48</f>
        <v>/paket/ablieferung/ordnungssystem</v>
      </c>
      <c r="B52" s="20" t="s">
        <v>32</v>
      </c>
      <c r="C52" s="1" t="s">
        <v>153</v>
      </c>
      <c r="E52" t="str">
        <f>PROPER(Umlaut(AddSpace(B52),1))&amp;": "&amp;PROPER(Umlaut(AddSpace(C52),1))&amp;IF(D52="",""," "&amp;D52)</f>
        <v>Ordnungssystemposition: Reihung</v>
      </c>
      <c r="F52" t="str">
        <f t="shared" si="0"/>
        <v>/paket/ablieferung/ordnungssystem/ordnungssystemposition</v>
      </c>
      <c r="G52" t="s">
        <v>269</v>
      </c>
    </row>
    <row r="53" spans="1:7" x14ac:dyDescent="0.2">
      <c r="A53" t="str">
        <f t="shared" si="4"/>
        <v>/paket/ablieferung/ordnungssystem</v>
      </c>
      <c r="B53" s="20" t="s">
        <v>32</v>
      </c>
      <c r="C53" s="1" t="s">
        <v>174</v>
      </c>
      <c r="E53" t="str">
        <f>PROPER(Umlaut(AddSpace(B53),1))&amp;": "&amp;PROPER(Umlaut(AddSpace(C53),1))&amp;IF(D53="",""," "&amp;D53)</f>
        <v>Ordnungssystemposition: Nummer</v>
      </c>
      <c r="F53" t="str">
        <f t="shared" si="0"/>
        <v>/paket/ablieferung/ordnungssystem/ordnungssystemposition</v>
      </c>
      <c r="G53" t="s">
        <v>269</v>
      </c>
    </row>
    <row r="54" spans="1:7" x14ac:dyDescent="0.2">
      <c r="A54" t="str">
        <f t="shared" si="4"/>
        <v>/paket/ablieferung/ordnungssystem</v>
      </c>
      <c r="B54" s="20" t="s">
        <v>32</v>
      </c>
      <c r="C54" s="1" t="s">
        <v>80</v>
      </c>
      <c r="E54" t="str">
        <f>PROPER(Umlaut(AddSpace(B54),1))&amp;": "&amp;PROPER(Umlaut(AddSpace(C54),1))&amp;IF(D54="",""," "&amp;D54)</f>
        <v>Ordnungssystemposition: Titel</v>
      </c>
      <c r="F54" t="str">
        <f t="shared" si="0"/>
        <v>/paket/ablieferung/ordnungssystem/ordnungssystemposition</v>
      </c>
      <c r="G54" t="s">
        <v>269</v>
      </c>
    </row>
    <row r="55" spans="1:7" x14ac:dyDescent="0.2">
      <c r="A55" t="str">
        <f t="shared" si="4"/>
        <v>/paket/ablieferung/ordnungssystem</v>
      </c>
      <c r="B55" s="20" t="s">
        <v>32</v>
      </c>
      <c r="C55" s="1" t="s">
        <v>73</v>
      </c>
      <c r="E55" t="str">
        <f>PROPER(Umlaut(AddSpace(B55),1))&amp;": "&amp;PROPER(Umlaut(AddSpace(C55),1))&amp;IF(D55="",""," "&amp;D55)</f>
        <v>Ordnungssystemposition: Federführende Organisationseinheit</v>
      </c>
      <c r="F55" t="str">
        <f t="shared" si="0"/>
        <v>/paket/ablieferung/ordnungssystem/ordnungssystemposition</v>
      </c>
      <c r="G55" t="s">
        <v>269</v>
      </c>
    </row>
    <row r="56" spans="1:7" x14ac:dyDescent="0.2">
      <c r="A56" t="str">
        <f t="shared" si="4"/>
        <v>/paket/ablieferung/ordnungssystem</v>
      </c>
      <c r="B56" s="20" t="s">
        <v>32</v>
      </c>
      <c r="C56" s="1" t="s">
        <v>169</v>
      </c>
      <c r="E56" t="str">
        <f>PROPER(Umlaut(AddSpace(B56),1))&amp;": "&amp;PROPER(Umlaut(AddSpace(C56),1))&amp;IF(D56="",""," "&amp;D56)</f>
        <v>Ordnungssystemposition: Schutzfristenkategorie</v>
      </c>
      <c r="F56" t="str">
        <f t="shared" si="0"/>
        <v>/paket/ablieferung/ordnungssystem/ordnungssystemposition</v>
      </c>
      <c r="G56" t="s">
        <v>269</v>
      </c>
    </row>
    <row r="57" spans="1:7" x14ac:dyDescent="0.2">
      <c r="A57" t="str">
        <f t="shared" si="4"/>
        <v>/paket/ablieferung/ordnungssystem</v>
      </c>
      <c r="B57" s="20" t="s">
        <v>32</v>
      </c>
      <c r="C57" s="1" t="s">
        <v>170</v>
      </c>
      <c r="E57" t="str">
        <f>PROPER(Umlaut(AddSpace(B57),1))&amp;": "&amp;PROPER(Umlaut(AddSpace(C57),1))&amp;IF(D57="",""," "&amp;D57)</f>
        <v>Ordnungssystemposition: Schutzfrist</v>
      </c>
      <c r="F57" t="str">
        <f t="shared" si="0"/>
        <v>/paket/ablieferung/ordnungssystem/ordnungssystemposition</v>
      </c>
      <c r="G57" t="s">
        <v>269</v>
      </c>
    </row>
    <row r="58" spans="1:7" x14ac:dyDescent="0.2">
      <c r="A58" t="str">
        <f t="shared" si="4"/>
        <v>/paket/ablieferung/ordnungssystem</v>
      </c>
      <c r="B58" s="20" t="s">
        <v>32</v>
      </c>
      <c r="C58" s="1" t="s">
        <v>175</v>
      </c>
      <c r="E58" t="str">
        <f>PROPER(Umlaut(AddSpace(B58),1))&amp;": "&amp;PROPER(Umlaut(AddSpace(C58),1))&amp;IF(D58="",""," "&amp;D58)</f>
        <v>Ordnungssystemposition: Schutzfristen Begründung</v>
      </c>
      <c r="F58" t="str">
        <f t="shared" si="0"/>
        <v>/paket/ablieferung/ordnungssystem/ordnungssystemposition</v>
      </c>
      <c r="G58" t="s">
        <v>269</v>
      </c>
    </row>
    <row r="59" spans="1:7" x14ac:dyDescent="0.2">
      <c r="A59" t="str">
        <f t="shared" si="4"/>
        <v>/paket/ablieferung/ordnungssystem</v>
      </c>
      <c r="B59" s="20" t="s">
        <v>32</v>
      </c>
      <c r="C59" s="1" t="s">
        <v>74</v>
      </c>
      <c r="E59" t="str">
        <f>PROPER(Umlaut(AddSpace(B59),1))&amp;": "&amp;PROPER(Umlaut(AddSpace(C59),1))&amp;IF(D59="",""," "&amp;D59)</f>
        <v>Ordnungssystemposition: Klassifizierungskategorie</v>
      </c>
      <c r="F59" t="str">
        <f t="shared" si="0"/>
        <v>/paket/ablieferung/ordnungssystem/ordnungssystemposition</v>
      </c>
      <c r="G59" t="s">
        <v>269</v>
      </c>
    </row>
    <row r="60" spans="1:7" x14ac:dyDescent="0.2">
      <c r="A60" t="str">
        <f t="shared" si="4"/>
        <v>/paket/ablieferung/ordnungssystem</v>
      </c>
      <c r="B60" s="20" t="s">
        <v>32</v>
      </c>
      <c r="C60" s="1" t="s">
        <v>75</v>
      </c>
      <c r="E60" t="str">
        <f>PROPER(Umlaut(AddSpace(B60),1))&amp;": "&amp;PROPER(Umlaut(AddSpace(C60),1))&amp;IF(D60="",""," "&amp;D60)</f>
        <v>Ordnungssystemposition: Datenschutz</v>
      </c>
      <c r="F60" t="str">
        <f t="shared" si="0"/>
        <v>/paket/ablieferung/ordnungssystem/ordnungssystemposition</v>
      </c>
      <c r="G60" t="s">
        <v>269</v>
      </c>
    </row>
    <row r="61" spans="1:7" x14ac:dyDescent="0.2">
      <c r="A61" t="str">
        <f t="shared" si="4"/>
        <v>/paket/ablieferung/ordnungssystem</v>
      </c>
      <c r="B61" s="20" t="s">
        <v>32</v>
      </c>
      <c r="C61" s="1" t="s">
        <v>76</v>
      </c>
      <c r="E61" t="str">
        <f>PROPER(Umlaut(AddSpace(B61),1))&amp;": "&amp;PROPER(Umlaut(AddSpace(C61),1))&amp;IF(D61="",""," "&amp;D61)</f>
        <v>Ordnungssystemposition: Öffentlichkeitsstatus</v>
      </c>
      <c r="F61" t="str">
        <f t="shared" si="0"/>
        <v>/paket/ablieferung/ordnungssystem/ordnungssystemposition</v>
      </c>
      <c r="G61" t="s">
        <v>269</v>
      </c>
    </row>
    <row r="62" spans="1:7" x14ac:dyDescent="0.2">
      <c r="A62" t="str">
        <f t="shared" si="4"/>
        <v>/paket/ablieferung/ordnungssystem</v>
      </c>
      <c r="B62" s="20" t="s">
        <v>32</v>
      </c>
      <c r="C62" s="1" t="s">
        <v>77</v>
      </c>
      <c r="E62" t="str">
        <f>PROPER(Umlaut(AddSpace(B62),1))&amp;": "&amp;PROPER(Umlaut(AddSpace(C62),1))&amp;IF(D62="",""," "&amp;D62)</f>
        <v>Ordnungssystemposition: Öffentlichkeitsstatus Begründung</v>
      </c>
      <c r="F62" t="str">
        <f t="shared" si="0"/>
        <v>/paket/ablieferung/ordnungssystem/ordnungssystemposition</v>
      </c>
      <c r="G62" t="s">
        <v>269</v>
      </c>
    </row>
    <row r="63" spans="1:7" x14ac:dyDescent="0.2">
      <c r="A63" t="str">
        <f t="shared" si="4"/>
        <v>/paket/ablieferung/ordnungssystem</v>
      </c>
      <c r="B63" s="20" t="s">
        <v>32</v>
      </c>
      <c r="C63" s="1" t="s">
        <v>78</v>
      </c>
      <c r="E63" t="str">
        <f>PROPER(Umlaut(AddSpace(B63),1))&amp;": "&amp;PROPER(Umlaut(AddSpace(C63),1))&amp;IF(D63="",""," "&amp;D63)</f>
        <v>Ordnungssystemposition: Sonstige Bestimmungen</v>
      </c>
      <c r="F63" t="str">
        <f t="shared" si="0"/>
        <v>/paket/ablieferung/ordnungssystem/ordnungssystemposition</v>
      </c>
      <c r="G63" t="s">
        <v>269</v>
      </c>
    </row>
    <row r="64" spans="1:7" x14ac:dyDescent="0.2">
      <c r="A64" t="str">
        <f t="shared" si="4"/>
        <v>/paket/ablieferung/ordnungssystem</v>
      </c>
      <c r="B64" s="20" t="s">
        <v>32</v>
      </c>
      <c r="C64" s="1" t="s">
        <v>59</v>
      </c>
      <c r="E64" t="str">
        <f>PROPER(Umlaut(AddSpace(B64),1))&amp;": "&amp;PROPER(Umlaut(AddSpace(C64),1))&amp;IF(D64="",""," "&amp;D64)</f>
        <v>Ordnungssystemposition: Zusatz Daten</v>
      </c>
      <c r="F64" t="str">
        <f t="shared" si="0"/>
        <v>/paket/ablieferung/ordnungssystem/ordnungssystemposition</v>
      </c>
      <c r="G64" t="s">
        <v>269</v>
      </c>
    </row>
    <row r="65" spans="1:7" x14ac:dyDescent="0.2">
      <c r="A65" t="str">
        <f t="shared" si="4"/>
        <v>/paket/ablieferung/ordnungssystem</v>
      </c>
      <c r="B65" s="20" t="s">
        <v>32</v>
      </c>
      <c r="C65" s="37" t="s">
        <v>32</v>
      </c>
      <c r="E65" t="str">
        <f>PROPER(Umlaut(AddSpace(B65),1))&amp;": "&amp;PROPER(Umlaut(AddSpace(C65),1))&amp;IF(D65="",""," "&amp;D65)</f>
        <v>Ordnungssystemposition: Ordnungssystemposition</v>
      </c>
      <c r="F65" t="str">
        <f t="shared" si="0"/>
        <v>/paket/ablieferung/ordnungssystem/ordnungssystemposition</v>
      </c>
      <c r="G65" t="s">
        <v>274</v>
      </c>
    </row>
    <row r="66" spans="1:7" x14ac:dyDescent="0.2">
      <c r="A66" t="str">
        <f t="shared" si="4"/>
        <v>/paket/ablieferung/ordnungssystem</v>
      </c>
      <c r="B66" s="20" t="s">
        <v>32</v>
      </c>
      <c r="C66" s="38" t="s">
        <v>35</v>
      </c>
      <c r="E66" t="str">
        <f>PROPER(Umlaut(AddSpace(B66),1))&amp;": "&amp;PROPER(Umlaut(AddSpace(C66),1))&amp;IF(D66="",""," "&amp;D66)</f>
        <v>Ordnungssystemposition: Dossier</v>
      </c>
      <c r="F66" t="str">
        <f t="shared" ref="F66:F76" si="5">A66&amp;"/"&amp;B66</f>
        <v>/paket/ablieferung/ordnungssystem/ordnungssystemposition</v>
      </c>
      <c r="G66" t="s">
        <v>274</v>
      </c>
    </row>
    <row r="67" spans="1:7" x14ac:dyDescent="0.2">
      <c r="A67" t="str">
        <f t="shared" si="4"/>
        <v>/paket/ablieferung/ordnungssystem</v>
      </c>
      <c r="B67" s="20" t="s">
        <v>32</v>
      </c>
      <c r="C67" s="35" t="s">
        <v>40</v>
      </c>
      <c r="E67" t="str">
        <f>PROPER(Umlaut(AddSpace(B67),1))&amp;": "&amp;PROPER(Umlaut(AddSpace(C67),1))&amp;IF(D67="",""," "&amp;D67)</f>
        <v>Ordnungssystemposition: Mappe</v>
      </c>
      <c r="F67" t="str">
        <f t="shared" si="5"/>
        <v>/paket/ablieferung/ordnungssystem/ordnungssystemposition</v>
      </c>
      <c r="G67" t="s">
        <v>274</v>
      </c>
    </row>
    <row r="68" spans="1:7" x14ac:dyDescent="0.2">
      <c r="A68" t="str">
        <f t="shared" si="4"/>
        <v>/paket/ablieferung/ordnungssystem</v>
      </c>
      <c r="B68" s="20" t="s">
        <v>32</v>
      </c>
      <c r="C68" s="36" t="s">
        <v>56</v>
      </c>
      <c r="E68" t="str">
        <f>PROPER(Umlaut(AddSpace(B68),1))&amp;": "&amp;PROPER(Umlaut(AddSpace(C68),1))&amp;IF(D68="",""," "&amp;D68)</f>
        <v>Ordnungssystemposition: Archivische Notiz</v>
      </c>
      <c r="F68" t="str">
        <f t="shared" si="5"/>
        <v>/paket/ablieferung/ordnungssystem/ordnungssystemposition</v>
      </c>
      <c r="G68" t="s">
        <v>274</v>
      </c>
    </row>
    <row r="69" spans="1:7" ht="16" x14ac:dyDescent="0.2">
      <c r="A69" t="str">
        <f>F$8</f>
        <v>/paket</v>
      </c>
      <c r="B69" s="12" t="s">
        <v>55</v>
      </c>
      <c r="C69" s="1" t="s">
        <v>96</v>
      </c>
      <c r="E69" t="str">
        <f>PROPER(Umlaut(AddSpace(B69),1))&amp;": "&amp;PROPER(Umlaut(AddSpace(C69),1))&amp;IF(D69="",""," "&amp;D69)</f>
        <v>Archivischer Vorgang: Vorgangstyp</v>
      </c>
      <c r="F69" t="str">
        <f t="shared" si="5"/>
        <v>/paket/archivischerVorgang</v>
      </c>
      <c r="G69" t="s">
        <v>269</v>
      </c>
    </row>
    <row r="70" spans="1:7" ht="16" x14ac:dyDescent="0.2">
      <c r="A70" t="str">
        <f t="shared" ref="A70:A72" si="6">F$8</f>
        <v>/paket</v>
      </c>
      <c r="B70" s="12" t="s">
        <v>55</v>
      </c>
      <c r="C70" s="1" t="s">
        <v>97</v>
      </c>
      <c r="E70" t="str">
        <f>PROPER(Umlaut(AddSpace(B70),1))&amp;": "&amp;PROPER(Umlaut(AddSpace(C70),1))&amp;IF(D70="",""," "&amp;D70)</f>
        <v>Archivischer Vorgang: Beschreibung</v>
      </c>
      <c r="F70" t="str">
        <f t="shared" si="5"/>
        <v>/paket/archivischerVorgang</v>
      </c>
      <c r="G70" t="s">
        <v>269</v>
      </c>
    </row>
    <row r="71" spans="1:7" ht="16" x14ac:dyDescent="0.2">
      <c r="A71" t="str">
        <f t="shared" si="6"/>
        <v>/paket</v>
      </c>
      <c r="B71" s="12" t="s">
        <v>55</v>
      </c>
      <c r="C71" s="1" t="s">
        <v>98</v>
      </c>
      <c r="E71" t="str">
        <f>PROPER(Umlaut(AddSpace(B71),1))&amp;": "&amp;PROPER(Umlaut(AddSpace(C71),1))&amp;IF(D71="",""," "&amp;D71)</f>
        <v>Archivischer Vorgang: Datum</v>
      </c>
      <c r="F71" t="str">
        <f t="shared" si="5"/>
        <v>/paket/archivischerVorgang</v>
      </c>
      <c r="G71" t="s">
        <v>269</v>
      </c>
    </row>
    <row r="72" spans="1:7" ht="16" x14ac:dyDescent="0.2">
      <c r="A72" t="str">
        <f t="shared" si="6"/>
        <v>/paket</v>
      </c>
      <c r="B72" s="12" t="s">
        <v>55</v>
      </c>
      <c r="C72" s="1" t="s">
        <v>99</v>
      </c>
      <c r="E72" t="str">
        <f>PROPER(Umlaut(AddSpace(B72),1))&amp;": "&amp;PROPER(Umlaut(AddSpace(C72),1))&amp;IF(D72="",""," "&amp;D72)</f>
        <v>Archivischer Vorgang: Bearbeiter</v>
      </c>
      <c r="F72" t="str">
        <f t="shared" si="5"/>
        <v>/paket/archivischerVorgang</v>
      </c>
      <c r="G72" t="s">
        <v>269</v>
      </c>
    </row>
    <row r="73" spans="1:7" ht="16" x14ac:dyDescent="0.2">
      <c r="A73" t="str">
        <f>F$9</f>
        <v>/paket</v>
      </c>
      <c r="B73" s="13" t="s">
        <v>56</v>
      </c>
      <c r="C73" s="1" t="s">
        <v>154</v>
      </c>
      <c r="E73" t="str">
        <f>PROPER(Umlaut(AddSpace(B73),1))&amp;": "&amp;PROPER(Umlaut(AddSpace(C73),1))&amp;IF(D73="",""," "&amp;D73)</f>
        <v>Archivische Notiz: Id</v>
      </c>
      <c r="F73" t="str">
        <f t="shared" si="5"/>
        <v>/paket/archivischeNotiz</v>
      </c>
      <c r="G73" t="s">
        <v>269</v>
      </c>
    </row>
    <row r="74" spans="1:7" ht="16" x14ac:dyDescent="0.2">
      <c r="A74" t="str">
        <f t="shared" ref="A74:A76" si="7">F$9</f>
        <v>/paket</v>
      </c>
      <c r="B74" s="13" t="s">
        <v>56</v>
      </c>
      <c r="C74" s="1" t="s">
        <v>100</v>
      </c>
      <c r="E74" t="str">
        <f>PROPER(Umlaut(AddSpace(B74),1))&amp;": "&amp;PROPER(Umlaut(AddSpace(C74),1))&amp;IF(D74="",""," "&amp;D74)</f>
        <v>Archivische Notiz: Notiz Datum</v>
      </c>
      <c r="F74" t="str">
        <f t="shared" si="5"/>
        <v>/paket/archivischeNotiz</v>
      </c>
      <c r="G74" t="s">
        <v>269</v>
      </c>
    </row>
    <row r="75" spans="1:7" ht="16" x14ac:dyDescent="0.2">
      <c r="A75" t="str">
        <f t="shared" si="7"/>
        <v>/paket</v>
      </c>
      <c r="B75" s="13" t="s">
        <v>56</v>
      </c>
      <c r="C75" s="1" t="s">
        <v>101</v>
      </c>
      <c r="E75" t="str">
        <f>PROPER(Umlaut(AddSpace(B75),1))&amp;": "&amp;PROPER(Umlaut(AddSpace(C75),1))&amp;IF(D75="",""," "&amp;D75)</f>
        <v>Archivische Notiz: Notiz Erfasser</v>
      </c>
      <c r="F75" t="str">
        <f t="shared" si="5"/>
        <v>/paket/archivischeNotiz</v>
      </c>
      <c r="G75" t="s">
        <v>269</v>
      </c>
    </row>
    <row r="76" spans="1:7" ht="16" x14ac:dyDescent="0.2">
      <c r="A76" t="str">
        <f t="shared" si="7"/>
        <v>/paket</v>
      </c>
      <c r="B76" s="13" t="s">
        <v>56</v>
      </c>
      <c r="C76" s="1" t="s">
        <v>102</v>
      </c>
      <c r="E76" t="str">
        <f>PROPER(Umlaut(AddSpace(B76),1))&amp;": "&amp;PROPER(Umlaut(AddSpace(C76),1))&amp;IF(D76="",""," "&amp;D76)</f>
        <v>Archivische Notiz: Notiz Beschreibung</v>
      </c>
      <c r="F76" t="str">
        <f t="shared" si="5"/>
        <v>/paket/archivischeNotiz</v>
      </c>
      <c r="G76" t="s">
        <v>269</v>
      </c>
    </row>
    <row r="77" spans="1:7" ht="16" x14ac:dyDescent="0.2">
      <c r="B77" s="26" t="s">
        <v>272</v>
      </c>
      <c r="C77" s="1" t="s">
        <v>271</v>
      </c>
      <c r="E77" t="s">
        <v>273</v>
      </c>
      <c r="G77" t="s">
        <v>270</v>
      </c>
    </row>
    <row r="78" spans="1:7" ht="16" x14ac:dyDescent="0.2">
      <c r="B78" s="26" t="s">
        <v>275</v>
      </c>
      <c r="C78" s="1" t="s">
        <v>276</v>
      </c>
      <c r="E78" t="s">
        <v>277</v>
      </c>
      <c r="G78" t="s">
        <v>278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45"/>
  <sheetViews>
    <sheetView workbookViewId="0">
      <selection activeCell="B45" sqref="B45"/>
    </sheetView>
  </sheetViews>
  <sheetFormatPr baseColWidth="10" defaultColWidth="11.5" defaultRowHeight="16" x14ac:dyDescent="0.2"/>
  <cols>
    <col min="1" max="1" width="6" style="9" customWidth="1"/>
    <col min="2" max="2" width="44" style="5" bestFit="1" customWidth="1"/>
    <col min="3" max="16384" width="11.5" style="5"/>
  </cols>
  <sheetData>
    <row r="1" spans="1:2" x14ac:dyDescent="0.2">
      <c r="A1" s="27" t="s">
        <v>227</v>
      </c>
      <c r="B1" s="27"/>
    </row>
    <row r="2" spans="1:2" x14ac:dyDescent="0.2">
      <c r="A2" s="6" t="s">
        <v>228</v>
      </c>
      <c r="B2" s="7" t="s">
        <v>229</v>
      </c>
    </row>
    <row r="3" spans="1:2" x14ac:dyDescent="0.2">
      <c r="A3" s="6" t="s">
        <v>228</v>
      </c>
      <c r="B3" s="8" t="s">
        <v>230</v>
      </c>
    </row>
    <row r="4" spans="1:2" x14ac:dyDescent="0.2">
      <c r="A4" s="6" t="s">
        <v>228</v>
      </c>
      <c r="B4" s="8" t="s">
        <v>231</v>
      </c>
    </row>
    <row r="5" spans="1:2" x14ac:dyDescent="0.2">
      <c r="A5" s="6" t="s">
        <v>228</v>
      </c>
      <c r="B5" s="8" t="s">
        <v>232</v>
      </c>
    </row>
    <row r="6" spans="1:2" x14ac:dyDescent="0.2">
      <c r="A6" s="6" t="s">
        <v>228</v>
      </c>
      <c r="B6" s="7" t="s">
        <v>233</v>
      </c>
    </row>
    <row r="7" spans="1:2" x14ac:dyDescent="0.2">
      <c r="A7" s="6" t="s">
        <v>228</v>
      </c>
      <c r="B7" s="8" t="s">
        <v>234</v>
      </c>
    </row>
    <row r="8" spans="1:2" x14ac:dyDescent="0.2">
      <c r="A8" s="6" t="s">
        <v>228</v>
      </c>
      <c r="B8" s="8" t="s">
        <v>235</v>
      </c>
    </row>
    <row r="9" spans="1:2" x14ac:dyDescent="0.2">
      <c r="A9" s="6" t="s">
        <v>228</v>
      </c>
      <c r="B9" s="7" t="s">
        <v>236</v>
      </c>
    </row>
    <row r="10" spans="1:2" x14ac:dyDescent="0.2">
      <c r="A10" s="6" t="s">
        <v>228</v>
      </c>
      <c r="B10" s="7" t="s">
        <v>237</v>
      </c>
    </row>
    <row r="11" spans="1:2" x14ac:dyDescent="0.2">
      <c r="A11" s="6" t="s">
        <v>228</v>
      </c>
      <c r="B11" s="8" t="s">
        <v>238</v>
      </c>
    </row>
    <row r="12" spans="1:2" x14ac:dyDescent="0.2">
      <c r="A12" s="6" t="s">
        <v>228</v>
      </c>
      <c r="B12" s="8" t="s">
        <v>239</v>
      </c>
    </row>
    <row r="13" spans="1:2" x14ac:dyDescent="0.2">
      <c r="A13" s="6" t="s">
        <v>228</v>
      </c>
      <c r="B13" s="8" t="s">
        <v>222</v>
      </c>
    </row>
    <row r="14" spans="1:2" x14ac:dyDescent="0.2">
      <c r="A14" s="6" t="s">
        <v>228</v>
      </c>
      <c r="B14" s="8" t="s">
        <v>240</v>
      </c>
    </row>
    <row r="15" spans="1:2" x14ac:dyDescent="0.2">
      <c r="A15" s="6" t="s">
        <v>228</v>
      </c>
      <c r="B15" s="8" t="s">
        <v>241</v>
      </c>
    </row>
    <row r="16" spans="1:2" x14ac:dyDescent="0.2">
      <c r="A16" s="6" t="s">
        <v>228</v>
      </c>
      <c r="B16" s="8" t="s">
        <v>242</v>
      </c>
    </row>
    <row r="17" spans="1:2" x14ac:dyDescent="0.2">
      <c r="A17" s="6" t="s">
        <v>228</v>
      </c>
      <c r="B17" s="7" t="s">
        <v>243</v>
      </c>
    </row>
    <row r="18" spans="1:2" x14ac:dyDescent="0.2">
      <c r="A18" s="6" t="s">
        <v>228</v>
      </c>
      <c r="B18" s="8" t="s">
        <v>244</v>
      </c>
    </row>
    <row r="19" spans="1:2" x14ac:dyDescent="0.2">
      <c r="A19" s="6" t="s">
        <v>228</v>
      </c>
      <c r="B19" s="8" t="s">
        <v>245</v>
      </c>
    </row>
    <row r="20" spans="1:2" x14ac:dyDescent="0.2">
      <c r="A20" s="6" t="s">
        <v>228</v>
      </c>
      <c r="B20" s="7" t="s">
        <v>246</v>
      </c>
    </row>
    <row r="21" spans="1:2" x14ac:dyDescent="0.2">
      <c r="A21" s="6" t="s">
        <v>228</v>
      </c>
      <c r="B21" s="7" t="s">
        <v>247</v>
      </c>
    </row>
    <row r="22" spans="1:2" x14ac:dyDescent="0.2">
      <c r="A22" s="6" t="s">
        <v>228</v>
      </c>
      <c r="B22" s="8" t="s">
        <v>248</v>
      </c>
    </row>
    <row r="23" spans="1:2" x14ac:dyDescent="0.2">
      <c r="A23" s="6" t="s">
        <v>249</v>
      </c>
      <c r="B23" s="7" t="s">
        <v>229</v>
      </c>
    </row>
    <row r="24" spans="1:2" x14ac:dyDescent="0.2">
      <c r="A24" s="6" t="s">
        <v>249</v>
      </c>
      <c r="B24" s="7" t="s">
        <v>233</v>
      </c>
    </row>
    <row r="25" spans="1:2" x14ac:dyDescent="0.2">
      <c r="A25" s="6" t="s">
        <v>249</v>
      </c>
      <c r="B25" s="8" t="s">
        <v>250</v>
      </c>
    </row>
    <row r="26" spans="1:2" x14ac:dyDescent="0.2">
      <c r="A26" s="6" t="s">
        <v>249</v>
      </c>
      <c r="B26" s="8" t="s">
        <v>251</v>
      </c>
    </row>
    <row r="27" spans="1:2" x14ac:dyDescent="0.2">
      <c r="A27" s="6" t="s">
        <v>249</v>
      </c>
      <c r="B27" s="7" t="s">
        <v>236</v>
      </c>
    </row>
    <row r="28" spans="1:2" x14ac:dyDescent="0.2">
      <c r="A28" s="6" t="s">
        <v>249</v>
      </c>
      <c r="B28" s="7" t="s">
        <v>237</v>
      </c>
    </row>
    <row r="29" spans="1:2" x14ac:dyDescent="0.2">
      <c r="A29" s="6" t="s">
        <v>249</v>
      </c>
      <c r="B29" s="8" t="s">
        <v>252</v>
      </c>
    </row>
    <row r="30" spans="1:2" x14ac:dyDescent="0.2">
      <c r="A30" s="6" t="s">
        <v>249</v>
      </c>
      <c r="B30" s="8" t="s">
        <v>253</v>
      </c>
    </row>
    <row r="31" spans="1:2" x14ac:dyDescent="0.2">
      <c r="A31" s="6" t="s">
        <v>249</v>
      </c>
      <c r="B31" s="8" t="s">
        <v>254</v>
      </c>
    </row>
    <row r="32" spans="1:2" x14ac:dyDescent="0.2">
      <c r="A32" s="6" t="s">
        <v>249</v>
      </c>
      <c r="B32" s="8" t="s">
        <v>255</v>
      </c>
    </row>
    <row r="33" spans="1:2" x14ac:dyDescent="0.2">
      <c r="A33" s="6" t="s">
        <v>249</v>
      </c>
      <c r="B33" s="7" t="s">
        <v>243</v>
      </c>
    </row>
    <row r="34" spans="1:2" x14ac:dyDescent="0.2">
      <c r="A34" s="6" t="s">
        <v>249</v>
      </c>
      <c r="B34" s="8" t="s">
        <v>256</v>
      </c>
    </row>
    <row r="35" spans="1:2" x14ac:dyDescent="0.2">
      <c r="A35" s="6" t="s">
        <v>249</v>
      </c>
      <c r="B35" s="7" t="s">
        <v>246</v>
      </c>
    </row>
    <row r="36" spans="1:2" x14ac:dyDescent="0.2">
      <c r="A36" s="6" t="s">
        <v>249</v>
      </c>
      <c r="B36" s="7" t="s">
        <v>247</v>
      </c>
    </row>
    <row r="37" spans="1:2" x14ac:dyDescent="0.2">
      <c r="A37" s="6" t="s">
        <v>257</v>
      </c>
      <c r="B37" s="7" t="s">
        <v>229</v>
      </c>
    </row>
    <row r="38" spans="1:2" x14ac:dyDescent="0.2">
      <c r="A38" s="6" t="s">
        <v>257</v>
      </c>
      <c r="B38" s="7" t="s">
        <v>233</v>
      </c>
    </row>
    <row r="39" spans="1:2" x14ac:dyDescent="0.2">
      <c r="A39" s="6" t="s">
        <v>257</v>
      </c>
      <c r="B39" s="8" t="s">
        <v>258</v>
      </c>
    </row>
    <row r="40" spans="1:2" x14ac:dyDescent="0.2">
      <c r="A40" s="6" t="s">
        <v>257</v>
      </c>
      <c r="B40" s="8" t="s">
        <v>259</v>
      </c>
    </row>
    <row r="41" spans="1:2" x14ac:dyDescent="0.2">
      <c r="A41" s="6" t="s">
        <v>257</v>
      </c>
      <c r="B41" s="7" t="s">
        <v>236</v>
      </c>
    </row>
    <row r="42" spans="1:2" x14ac:dyDescent="0.2">
      <c r="A42" s="6" t="s">
        <v>257</v>
      </c>
      <c r="B42" s="7" t="s">
        <v>237</v>
      </c>
    </row>
    <row r="43" spans="1:2" x14ac:dyDescent="0.2">
      <c r="A43" s="6" t="s">
        <v>257</v>
      </c>
      <c r="B43" s="8" t="s">
        <v>260</v>
      </c>
    </row>
    <row r="44" spans="1:2" x14ac:dyDescent="0.2">
      <c r="A44" s="6" t="s">
        <v>257</v>
      </c>
      <c r="B44" s="7" t="s">
        <v>246</v>
      </c>
    </row>
    <row r="45" spans="1:2" x14ac:dyDescent="0.2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Microsoft Office User</cp:lastModifiedBy>
  <dcterms:created xsi:type="dcterms:W3CDTF">2022-07-29T10:15:59Z</dcterms:created>
  <dcterms:modified xsi:type="dcterms:W3CDTF">2022-09-08T09:46:19Z</dcterms:modified>
</cp:coreProperties>
</file>